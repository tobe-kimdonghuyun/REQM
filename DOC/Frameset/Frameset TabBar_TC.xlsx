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obesoft\Documents\@김지연\신규테스트\Frameset TabBar\1. docs\"/>
    </mc:Choice>
  </mc:AlternateContent>
  <bookViews>
    <workbookView xWindow="0" yWindow="0" windowWidth="28800" windowHeight="12165" activeTab="2"/>
  </bookViews>
  <sheets>
    <sheet name="표지" sheetId="3" r:id="rId1"/>
    <sheet name="문서이력" sheetId="4" r:id="rId2"/>
    <sheet name="테스트 케이스" sheetId="1" r:id="rId3"/>
    <sheet name="내부 코드" sheetId="2" r:id="rId4"/>
  </sheets>
  <definedNames>
    <definedName name="_xlnm._FilterDatabase" localSheetId="2" hidden="1">'테스트 케이스'!$B$20:$AJ$20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Y16" i="1" l="1"/>
  <c r="Y15" i="1"/>
  <c r="Y14" i="1"/>
  <c r="Y13" i="1"/>
  <c r="AI10" i="1"/>
  <c r="AI9" i="1"/>
  <c r="AI8" i="1"/>
  <c r="AI7" i="1"/>
  <c r="AH10" i="1"/>
  <c r="AH9" i="1"/>
  <c r="AH8" i="1"/>
  <c r="AH7" i="1"/>
  <c r="AI6" i="1" l="1"/>
  <c r="AI11" i="1" s="1"/>
  <c r="AH6" i="1"/>
  <c r="AH11" i="1" s="1"/>
  <c r="AG10" i="1"/>
  <c r="AF10" i="1"/>
  <c r="AE10" i="1"/>
  <c r="AD10" i="1"/>
  <c r="AC10" i="1"/>
  <c r="AB10" i="1"/>
  <c r="AA10" i="1"/>
  <c r="Z10" i="1"/>
  <c r="Y10" i="1"/>
  <c r="AG9" i="1"/>
  <c r="AF9" i="1"/>
  <c r="AE9" i="1"/>
  <c r="AD9" i="1"/>
  <c r="AC9" i="1"/>
  <c r="AB9" i="1"/>
  <c r="AA9" i="1"/>
  <c r="Z9" i="1"/>
  <c r="Y9" i="1"/>
  <c r="AG8" i="1"/>
  <c r="AF8" i="1"/>
  <c r="AE8" i="1"/>
  <c r="AD8" i="1"/>
  <c r="AC8" i="1"/>
  <c r="AB8" i="1"/>
  <c r="AA8" i="1"/>
  <c r="Z8" i="1"/>
  <c r="AG7" i="1"/>
  <c r="AF7" i="1"/>
  <c r="AE7" i="1"/>
  <c r="AD7" i="1"/>
  <c r="AC7" i="1"/>
  <c r="AB7" i="1"/>
  <c r="AA7" i="1"/>
  <c r="Z7" i="1"/>
  <c r="Y8" i="1"/>
  <c r="Y7" i="1"/>
  <c r="AJ9" i="1" l="1"/>
  <c r="AJ10" i="1"/>
  <c r="AG6" i="1"/>
  <c r="AG11" i="1" s="1"/>
  <c r="AJ8" i="1"/>
  <c r="AJ7" i="1"/>
  <c r="AF6" i="1"/>
  <c r="AF11" i="1" s="1"/>
  <c r="AE6" i="1"/>
  <c r="AE11" i="1" s="1"/>
  <c r="AD6" i="1"/>
  <c r="AD11" i="1" s="1"/>
  <c r="AC6" i="1"/>
  <c r="AC11" i="1" s="1"/>
  <c r="AB6" i="1"/>
  <c r="AB11" i="1" s="1"/>
  <c r="AA6" i="1"/>
  <c r="AA11" i="1" s="1"/>
  <c r="Z6" i="1"/>
  <c r="Z11" i="1" s="1"/>
  <c r="Y6" i="1"/>
  <c r="Y11" i="1" s="1"/>
  <c r="AJ6" i="1" l="1"/>
  <c r="AJ11" i="1" s="1"/>
</calcChain>
</file>

<file path=xl/sharedStrings.xml><?xml version="1.0" encoding="utf-8"?>
<sst xmlns="http://schemas.openxmlformats.org/spreadsheetml/2006/main" count="408" uniqueCount="223">
  <si>
    <t>TEST Project 명</t>
    <phoneticPr fontId="1" type="noConversion"/>
  </si>
  <si>
    <t>3 Depth</t>
  </si>
  <si>
    <t>4 Depth</t>
  </si>
  <si>
    <t>No.</t>
    <phoneticPr fontId="1" type="noConversion"/>
  </si>
  <si>
    <t>NRE</t>
    <phoneticPr fontId="1" type="noConversion"/>
  </si>
  <si>
    <t>WRE</t>
    <phoneticPr fontId="1" type="noConversion"/>
  </si>
  <si>
    <t>성공/실패</t>
    <phoneticPr fontId="1" type="noConversion"/>
  </si>
  <si>
    <t>테스트 Depth</t>
    <phoneticPr fontId="1" type="noConversion"/>
  </si>
  <si>
    <t>테스트 방법</t>
    <phoneticPr fontId="1" type="noConversion"/>
  </si>
  <si>
    <t>테스트 성공 여부</t>
    <phoneticPr fontId="1" type="noConversion"/>
  </si>
  <si>
    <t>PASS</t>
    <phoneticPr fontId="1" type="noConversion"/>
  </si>
  <si>
    <t>FAIL</t>
    <phoneticPr fontId="1" type="noConversion"/>
  </si>
  <si>
    <t>N/A</t>
    <phoneticPr fontId="1" type="noConversion"/>
  </si>
  <si>
    <t>NO TEST</t>
    <phoneticPr fontId="1" type="noConversion"/>
  </si>
  <si>
    <t>정상</t>
    <phoneticPr fontId="1" type="noConversion"/>
  </si>
  <si>
    <t>실패</t>
    <phoneticPr fontId="1" type="noConversion"/>
  </si>
  <si>
    <t>테스트 미시행</t>
    <phoneticPr fontId="1" type="noConversion"/>
  </si>
  <si>
    <t>테스트 불가 (개발  미진행)</t>
    <phoneticPr fontId="1" type="noConversion"/>
  </si>
  <si>
    <t>중요도</t>
    <phoneticPr fontId="1" type="noConversion"/>
  </si>
  <si>
    <t>Critical</t>
    <phoneticPr fontId="1" type="noConversion"/>
  </si>
  <si>
    <t>High</t>
    <phoneticPr fontId="1" type="noConversion"/>
  </si>
  <si>
    <t>Middle</t>
    <phoneticPr fontId="1" type="noConversion"/>
  </si>
  <si>
    <t>Low</t>
    <phoneticPr fontId="1" type="noConversion"/>
  </si>
  <si>
    <t>매우심각(비정상종료, 디그라데이션)</t>
    <phoneticPr fontId="1" type="noConversion"/>
  </si>
  <si>
    <t>심각 (기본기능 미동작)</t>
    <phoneticPr fontId="1" type="noConversion"/>
  </si>
  <si>
    <t>보통 (오류 문구 오류, style 오류 등)</t>
    <phoneticPr fontId="1" type="noConversion"/>
  </si>
  <si>
    <t>오픈에 문제 없을 정도</t>
    <phoneticPr fontId="1" type="noConversion"/>
  </si>
  <si>
    <t xml:space="preserve"> -</t>
    <phoneticPr fontId="1" type="noConversion"/>
  </si>
  <si>
    <t>Chrome</t>
    <phoneticPr fontId="1" type="noConversion"/>
  </si>
  <si>
    <t>Edge</t>
    <phoneticPr fontId="1" type="noConversion"/>
  </si>
  <si>
    <t>Safari</t>
    <phoneticPr fontId="1" type="noConversion"/>
  </si>
  <si>
    <t>macOS</t>
    <phoneticPr fontId="1" type="noConversion"/>
  </si>
  <si>
    <t>macOS</t>
    <phoneticPr fontId="1" type="noConversion"/>
  </si>
  <si>
    <t>Android</t>
    <phoneticPr fontId="1" type="noConversion"/>
  </si>
  <si>
    <t>iOS</t>
    <phoneticPr fontId="1" type="noConversion"/>
  </si>
  <si>
    <t>Android</t>
    <phoneticPr fontId="1" type="noConversion"/>
  </si>
  <si>
    <t>Chrome</t>
    <phoneticPr fontId="1" type="noConversion"/>
  </si>
  <si>
    <t>iOS</t>
    <phoneticPr fontId="1" type="noConversion"/>
  </si>
  <si>
    <t>safari</t>
    <phoneticPr fontId="1" type="noConversion"/>
  </si>
  <si>
    <t>비고</t>
    <phoneticPr fontId="1" type="noConversion"/>
  </si>
  <si>
    <t>Windows</t>
    <phoneticPr fontId="1" type="noConversion"/>
  </si>
  <si>
    <t>테스트 결과</t>
    <phoneticPr fontId="1" type="noConversion"/>
  </si>
  <si>
    <t>PASS</t>
    <phoneticPr fontId="1" type="noConversion"/>
  </si>
  <si>
    <t>RP 등록번호</t>
    <phoneticPr fontId="1" type="noConversion"/>
  </si>
  <si>
    <t>TEST 담당자</t>
    <phoneticPr fontId="1" type="noConversion"/>
  </si>
  <si>
    <t>소계</t>
    <phoneticPr fontId="1" type="noConversion"/>
  </si>
  <si>
    <t>total</t>
    <phoneticPr fontId="1" type="noConversion"/>
  </si>
  <si>
    <t>샘플명</t>
    <phoneticPr fontId="1" type="noConversion"/>
  </si>
  <si>
    <t>분류</t>
    <phoneticPr fontId="1" type="noConversion"/>
  </si>
  <si>
    <t xml:space="preserve">1 Depth </t>
    <phoneticPr fontId="1" type="noConversion"/>
  </si>
  <si>
    <t>분류표</t>
    <phoneticPr fontId="1" type="noConversion"/>
  </si>
  <si>
    <t>property</t>
    <phoneticPr fontId="1" type="noConversion"/>
  </si>
  <si>
    <t>method</t>
    <phoneticPr fontId="1" type="noConversion"/>
  </si>
  <si>
    <t>event</t>
    <phoneticPr fontId="1" type="noConversion"/>
  </si>
  <si>
    <t>tool</t>
    <phoneticPr fontId="1" type="noConversion"/>
  </si>
  <si>
    <t>Generator</t>
    <phoneticPr fontId="1" type="noConversion"/>
  </si>
  <si>
    <t>tool</t>
    <phoneticPr fontId="1" type="noConversion"/>
  </si>
  <si>
    <t>tool</t>
    <phoneticPr fontId="1" type="noConversion"/>
  </si>
  <si>
    <t>generator</t>
    <phoneticPr fontId="1" type="noConversion"/>
  </si>
  <si>
    <t>성공조건</t>
    <phoneticPr fontId="1" type="noConversion"/>
  </si>
  <si>
    <t>TEST 종료일</t>
    <phoneticPr fontId="1" type="noConversion"/>
  </si>
  <si>
    <t>TEST CASE 작성일</t>
    <phoneticPr fontId="1" type="noConversion"/>
  </si>
  <si>
    <t>TEST 시작일 (추가)</t>
    <phoneticPr fontId="1" type="noConversion"/>
  </si>
  <si>
    <t>TEST 종료일(추가)</t>
    <phoneticPr fontId="1" type="noConversion"/>
  </si>
  <si>
    <t>TEST 시작일 (1차)</t>
    <phoneticPr fontId="1" type="noConversion"/>
  </si>
  <si>
    <t>비고</t>
    <phoneticPr fontId="1" type="noConversion"/>
  </si>
  <si>
    <t>Low</t>
    <phoneticPr fontId="1" type="noConversion"/>
  </si>
  <si>
    <t>Critical</t>
    <phoneticPr fontId="1" type="noConversion"/>
  </si>
  <si>
    <t>High</t>
    <phoneticPr fontId="1" type="noConversion"/>
  </si>
  <si>
    <t>Middle</t>
    <phoneticPr fontId="1" type="noConversion"/>
  </si>
  <si>
    <t>테스트 진행</t>
    <phoneticPr fontId="1" type="noConversion"/>
  </si>
  <si>
    <t>Middle은 의사결정에 의해 통과됨</t>
    <phoneticPr fontId="1" type="noConversion"/>
  </si>
  <si>
    <t>Low는 오픈 결함으로 진행 가능</t>
    <phoneticPr fontId="1" type="noConversion"/>
  </si>
  <si>
    <t>High는 모두 해소가 되어야 통과됨</t>
    <phoneticPr fontId="1" type="noConversion"/>
  </si>
  <si>
    <t>Critical은 모두 해소가 되어야 통과됨</t>
    <phoneticPr fontId="1" type="noConversion"/>
  </si>
  <si>
    <t>㈜투비소프트 품질보증그룹</t>
    <phoneticPr fontId="1" type="noConversion"/>
  </si>
  <si>
    <t>문서 이력 정보(Revision History)</t>
    <phoneticPr fontId="1" type="noConversion"/>
  </si>
  <si>
    <t>본 문서에 대한 작성자와 검토자의 서명은 당사 내부에서 본 문서에 대한 수행 및 유지관리의 책임이 있음을 인정하는 것이며, 승인자의 서명은 본 문서가 당사 업무 활동 범위에서 사용될 것을 인가하는 것임.</t>
    <phoneticPr fontId="1" type="noConversion"/>
  </si>
  <si>
    <t>작성일</t>
  </si>
  <si>
    <t>작성자</t>
  </si>
  <si>
    <t>검수일</t>
  </si>
  <si>
    <t>검수인</t>
  </si>
  <si>
    <t>변경내역요약</t>
  </si>
  <si>
    <t>최초작성</t>
    <phoneticPr fontId="1" type="noConversion"/>
  </si>
  <si>
    <t>김지연</t>
    <phoneticPr fontId="1" type="noConversion"/>
  </si>
  <si>
    <t>Protocol Adaptor 테스트</t>
    <phoneticPr fontId="1" type="noConversion"/>
  </si>
  <si>
    <t>property</t>
  </si>
  <si>
    <t>[nexacro K]
Framset TabBar 테스트</t>
    <phoneticPr fontId="1" type="noConversion"/>
  </si>
  <si>
    <t>framsetTabBarTest.xprj</t>
  </si>
  <si>
    <t>tabBar가 show/hide 되어야 함</t>
    <phoneticPr fontId="1" type="noConversion"/>
  </si>
  <si>
    <t>PASS</t>
  </si>
  <si>
    <t>1. ABC 가 입력되어 있는 Edit 에 임의의 text로 수정
2. 'titletext 변경' 버튼 클릭</t>
    <phoneticPr fontId="1" type="noConversion"/>
  </si>
  <si>
    <t>1. 'tabbar show/hide' 버튼 클릭</t>
    <phoneticPr fontId="1" type="noConversion"/>
  </si>
  <si>
    <t xml:space="preserve">수정한 text로 첫번째 tabBar의 title이 변경되어야 함 </t>
    <phoneticPr fontId="1" type="noConversion"/>
  </si>
  <si>
    <t>1. 'frame visible' 버튼 클릭</t>
    <phoneticPr fontId="1" type="noConversion"/>
  </si>
  <si>
    <t>TabBar_Test2 frame이 visible false/true 되어야 함</t>
    <phoneticPr fontId="1" type="noConversion"/>
  </si>
  <si>
    <t>1. 'frame 생성' 버튼 클릭</t>
    <phoneticPr fontId="1" type="noConversion"/>
  </si>
  <si>
    <t>tabBar 우측에 'Append Test' title로 frame이 생성되어야 함</t>
    <phoneticPr fontId="1" type="noConversion"/>
  </si>
  <si>
    <t>1. 'frame disabled' 버튼 클릭</t>
    <phoneticPr fontId="1" type="noConversion"/>
  </si>
  <si>
    <t>TabBar_Test2, Test_3 frame이 disabled 상태가 되어야하고 css도 변경되어야 함</t>
    <phoneticPr fontId="1" type="noConversion"/>
  </si>
  <si>
    <t>우측 끝에 5개의 extra 버튼 생성되고 0으로 변경하면 모두 사라져야함</t>
    <phoneticPr fontId="1" type="noConversion"/>
  </si>
  <si>
    <t>1번 클릭시 left, 2번째 클릭시 bottom, 3번째 클릭시 right, 4번째 클릭시 top</t>
    <phoneticPr fontId="1" type="noConversion"/>
  </si>
  <si>
    <t>1. 'change tabbarposition' 버튼 클릭</t>
    <phoneticPr fontId="1" type="noConversion"/>
  </si>
  <si>
    <t>1. extrabutton 에 mouseover 하여 tooltiptext를 확인한다
2. 'change extrabutton tooltiptext' 버튼 클릭</t>
    <phoneticPr fontId="1" type="noConversion"/>
  </si>
  <si>
    <t>순서대로 1,2,3,4,5 tooltiptext가 표시되고 버튼 클릭 후 a,b,c,d,e 가 표시되어야 함</t>
    <phoneticPr fontId="1" type="noConversion"/>
  </si>
  <si>
    <t>1. 'separatorsize' 버튼 클릭</t>
    <phoneticPr fontId="1" type="noConversion"/>
  </si>
  <si>
    <t>tabbar buttonset 내의 separator가 5px 로 표시되어야 함</t>
    <phoneticPr fontId="1" type="noConversion"/>
  </si>
  <si>
    <t>1. 'allowtabbaritempinbutton true/false' 버튼 클릭
2. 'usepinbutton true/false' 버튼 클릭</t>
    <phoneticPr fontId="1" type="noConversion"/>
  </si>
  <si>
    <t>1. 'allowtabbaritempinbutton true/false' 버튼 클릭
2. 'usepinbutton true/false' 버튼 클릭</t>
    <phoneticPr fontId="1" type="noConversion"/>
  </si>
  <si>
    <t>첫번째 tabbar에 pinbutton 표시되었다가 사라져야함(usepinbutton false)</t>
    <phoneticPr fontId="1" type="noConversion"/>
  </si>
  <si>
    <t xml:space="preserve">첫번째 tabbar에 pinbutton 표시되지 않아야 함(allowtabbaritempinbutton false) </t>
    <phoneticPr fontId="1" type="noConversion"/>
  </si>
  <si>
    <t>1. 'itemjustity true/false' 버튼 클릭</t>
    <phoneticPr fontId="1" type="noConversion"/>
  </si>
  <si>
    <t>tabbaritem이 동일한 크기로 표시되어야 함</t>
    <phoneticPr fontId="1" type="noConversion"/>
  </si>
  <si>
    <t>1. 'usepinbutton true/false' 버튼 클릭</t>
    <phoneticPr fontId="1" type="noConversion"/>
  </si>
  <si>
    <t>2,3번째 tabbar에 pinbutton이 표시되어야 함</t>
    <phoneticPr fontId="1" type="noConversion"/>
  </si>
  <si>
    <t>1. 'pinbutton position' 버튼 클릭</t>
    <phoneticPr fontId="1" type="noConversion"/>
  </si>
  <si>
    <t>pinbutton이 text 앞 쪽에 표시되어야 함</t>
    <phoneticPr fontId="1" type="noConversion"/>
  </si>
  <si>
    <t>1. 'change tabbarsize' 버튼 클릭</t>
    <phoneticPr fontId="1" type="noConversion"/>
  </si>
  <si>
    <t>tabbar 사이즈가 변경됨</t>
    <phoneticPr fontId="1" type="noConversion"/>
  </si>
  <si>
    <t>PASS</t>
    <phoneticPr fontId="1" type="noConversion"/>
  </si>
  <si>
    <t>1. 'set itemheight' 버튼 클릭</t>
    <phoneticPr fontId="1" type="noConversion"/>
  </si>
  <si>
    <t>1. 'set itemminheight' 버튼 클릭
2. 'set itemheight' 버튼의 오른쪽 edit에 20 설정 후 버튼 클릭</t>
    <phoneticPr fontId="1" type="noConversion"/>
  </si>
  <si>
    <t>minheight를 50으로 설정하였으므로 20으로 변경되지 않아야 함</t>
    <phoneticPr fontId="1" type="noConversion"/>
  </si>
  <si>
    <t>1. 'set itemmaxheight' 버튼 클릭
2. 'set itemheight' 버튼의 오른쪽 edit에 200 설정 후 버튼 클릭</t>
    <phoneticPr fontId="1" type="noConversion"/>
  </si>
  <si>
    <t>maxheight를 100으로 설정하였으므로 200으로 변경되지 않아야 함</t>
    <phoneticPr fontId="1" type="noConversion"/>
  </si>
  <si>
    <t>1. 'set itemwidth' 버튼 클릭</t>
    <phoneticPr fontId="1" type="noConversion"/>
  </si>
  <si>
    <t>tabbaritem 높이가 변경됨</t>
    <phoneticPr fontId="1" type="noConversion"/>
  </si>
  <si>
    <t>tabbaritem 너비가 변경됨</t>
    <phoneticPr fontId="1" type="noConversion"/>
  </si>
  <si>
    <t>FAIL</t>
  </si>
  <si>
    <t>1. 'set itemminwidth' 버튼 클릭
2. 'set itemwidth' 버튼의 오른쪽 edit에 10 설정 후 버튼 클릭</t>
    <phoneticPr fontId="1" type="noConversion"/>
  </si>
  <si>
    <t>minwidth를 20으로 설정하였으므로 10으로 변경되지 않아야 함</t>
    <phoneticPr fontId="1" type="noConversion"/>
  </si>
  <si>
    <t>1. 'set itemmaxwidth' 버튼 클릭
2. 'set itemwidth' 버튼의 오른쪽 edit에 300 설정 후 버튼 클릭</t>
    <phoneticPr fontId="1" type="noConversion"/>
  </si>
  <si>
    <t>maxwidth를 200으로 설정하였으므로 300으로 변경되지 않아야 함</t>
    <phoneticPr fontId="1" type="noConversion"/>
  </si>
  <si>
    <t>itemwidth 속성이 적용되지 않아 테스트 불가</t>
    <phoneticPr fontId="1" type="noConversion"/>
  </si>
  <si>
    <t>1. 'set itemgap' 버튼 클릭</t>
    <phoneticPr fontId="1" type="noConversion"/>
  </si>
  <si>
    <t>1. 'set itempinbuttonsize' 버튼 클릭</t>
    <phoneticPr fontId="1" type="noConversion"/>
  </si>
  <si>
    <t>1. 'set itemclosebuttonsize' 버튼 클릭</t>
    <phoneticPr fontId="1" type="noConversion"/>
  </si>
  <si>
    <t>tabbaritem 사이 간격이 10px만큼 벌어짐</t>
    <phoneticPr fontId="1" type="noConversion"/>
  </si>
  <si>
    <t>pinbutton 사이즈가 작아짐</t>
    <phoneticPr fontId="1" type="noConversion"/>
  </si>
  <si>
    <t>closebutton  사이즈가 작아짐</t>
    <phoneticPr fontId="1" type="noConversion"/>
  </si>
  <si>
    <t>1. 'set buttonshow' 버튼 옆 combodropdown 클릭
2. multicombolist에서 'itemscroll' 선택</t>
    <phoneticPr fontId="1" type="noConversion"/>
  </si>
  <si>
    <t>&lt;, &gt; 버튼 표시</t>
    <phoneticPr fontId="1" type="noConversion"/>
  </si>
  <si>
    <t>목록,모두닫기,최대화 버튼 표시</t>
    <phoneticPr fontId="1" type="noConversion"/>
  </si>
  <si>
    <t>1. 'set buttonshow' 버튼 옆 combodropdown 클릭
2. multicombolist에서 'itemscroll' 선택 해제 후 'framelistpopupmenu,maxrestore,closeall' 선택</t>
    <phoneticPr fontId="1" type="noConversion"/>
  </si>
  <si>
    <t>1. 'set buttonshow' 버튼 옆 combodropdown 클릭
2. multicombolist에서 'framelistpopupmenu,maxrestore,closeall' 선택 해제 후 'arrange, extra' 선택</t>
    <phoneticPr fontId="1" type="noConversion"/>
  </si>
  <si>
    <t>배열, extrabutton 표시</t>
    <phoneticPr fontId="1" type="noConversion"/>
  </si>
  <si>
    <t>1. 'set buttongap' 버튼 클릭</t>
    <phoneticPr fontId="1" type="noConversion"/>
  </si>
  <si>
    <t>버튼 사이가 10px 씩 벌어짐</t>
    <phoneticPr fontId="1" type="noConversion"/>
  </si>
  <si>
    <t>PASS</t>
    <phoneticPr fontId="1" type="noConversion"/>
  </si>
  <si>
    <t>1. 'set buttonsize' 버튼 클릭</t>
    <phoneticPr fontId="1" type="noConversion"/>
  </si>
  <si>
    <t>모든 버튼의 크기가 30px로 커짐</t>
    <phoneticPr fontId="1" type="noConversion"/>
  </si>
  <si>
    <t>PASS</t>
    <phoneticPr fontId="1" type="noConversion"/>
  </si>
  <si>
    <t>method</t>
  </si>
  <si>
    <t>setTabBarExtraButtonVisible(from,to,visible)</t>
  </si>
  <si>
    <t>5번째 파란색 버튼 제외하고 모두 표시되지 않음</t>
    <phoneticPr fontId="1" type="noConversion"/>
  </si>
  <si>
    <t>1. 'setTabBarExtraButtonVisible(1,3,true)' 버튼 클릭</t>
    <phoneticPr fontId="1" type="noConversion"/>
  </si>
  <si>
    <t>1~3번째 버튼이 표시됨</t>
    <phoneticPr fontId="1" type="noConversion"/>
  </si>
  <si>
    <t>1. 'getTabBarExtraButtonVisible(2)' 버튼 클릭</t>
    <phoneticPr fontId="1" type="noConversion"/>
  </si>
  <si>
    <t>PASS</t>
    <phoneticPr fontId="1" type="noConversion"/>
  </si>
  <si>
    <t>1. 'setExtraButtonVisible(1,4,false)' 버튼 클릭</t>
    <phoneticPr fontId="1" type="noConversion"/>
  </si>
  <si>
    <t>1. 'setExtraButtonVisible(1,4,false)' 버튼 클릭
2. 'getTabBarExtraButtonVisible(2)' 버튼 클릭</t>
    <phoneticPr fontId="1" type="noConversion"/>
  </si>
  <si>
    <t>getTabBarExtraButtonVisible(idx)</t>
  </si>
  <si>
    <t>event</t>
  </si>
  <si>
    <t>ontabbarextrabuttonclick</t>
    <phoneticPr fontId="1" type="noConversion"/>
  </si>
  <si>
    <t>1. tabBar에서 임의의 extraButton 클릭</t>
    <phoneticPr fontId="1" type="noConversion"/>
  </si>
  <si>
    <t>alert 창에 ontabbarextrabuttonclick 반환</t>
    <phoneticPr fontId="1" type="noConversion"/>
  </si>
  <si>
    <t>alert 창에 true 반환</t>
    <phoneticPr fontId="1" type="noConversion"/>
  </si>
  <si>
    <t>alert 창에 false 반환</t>
    <phoneticPr fontId="1" type="noConversion"/>
  </si>
  <si>
    <t>Framset TabBar</t>
    <phoneticPr fontId="1" type="noConversion"/>
  </si>
  <si>
    <t>기본 동작</t>
    <phoneticPr fontId="1" type="noConversion"/>
  </si>
  <si>
    <t>tabBar 표시 확인</t>
    <phoneticPr fontId="1" type="noConversion"/>
  </si>
  <si>
    <t>titleText 변경 확인</t>
    <phoneticPr fontId="1" type="noConversion"/>
  </si>
  <si>
    <t>framset 표시 확인</t>
    <phoneticPr fontId="1" type="noConversion"/>
  </si>
  <si>
    <t>1. 'extrabuttoncount' 옆 Edit에 '5' 입력 후 'extrabuttoncount'버튼 클릭
2. Edit에 '0' 입력</t>
    <phoneticPr fontId="1" type="noConversion"/>
  </si>
  <si>
    <t>extraButton 생성 확인</t>
    <phoneticPr fontId="1" type="noConversion"/>
  </si>
  <si>
    <t>extraButton tooltip 변경 확인</t>
    <phoneticPr fontId="1" type="noConversion"/>
  </si>
  <si>
    <t>item 균등 배치 확인</t>
    <phoneticPr fontId="1" type="noConversion"/>
  </si>
  <si>
    <t>pinbutton 표시 확인</t>
    <phoneticPr fontId="1" type="noConversion"/>
  </si>
  <si>
    <t>pinbutton 위치 확인</t>
    <phoneticPr fontId="1" type="noConversion"/>
  </si>
  <si>
    <t>tabbar 사이즈 확인</t>
    <phoneticPr fontId="1" type="noConversion"/>
  </si>
  <si>
    <t>item 간격 확인</t>
    <phoneticPr fontId="1" type="noConversion"/>
  </si>
  <si>
    <t>closebutton 사이즈 확인</t>
    <phoneticPr fontId="1" type="noConversion"/>
  </si>
  <si>
    <t>button 영역 확인</t>
    <phoneticPr fontId="1" type="noConversion"/>
  </si>
  <si>
    <t>extraButton 의 visible 상태 확인</t>
    <phoneticPr fontId="1" type="noConversion"/>
  </si>
  <si>
    <t>extraButton 이벤트 확인</t>
    <phoneticPr fontId="1" type="noConversion"/>
  </si>
  <si>
    <t>High</t>
  </si>
  <si>
    <t>TabBar_test 탭으로 이동되어야 함</t>
    <phoneticPr fontId="1" type="noConversion"/>
  </si>
  <si>
    <t>TabBar_test_3 탭으로 이동되어야 함</t>
    <phoneticPr fontId="1" type="noConversion"/>
  </si>
  <si>
    <t>1. 두번째 탭인 'TabBar_test_2' 클릭
2. '&lt;' 버튼 클릭</t>
    <phoneticPr fontId="1" type="noConversion"/>
  </si>
  <si>
    <t>1. 두번째 탭인 'TabBar_test_2' 클릭
2. '&gt;' 버튼 클릭</t>
    <phoneticPr fontId="1" type="noConversion"/>
  </si>
  <si>
    <t>1. '모두닫기' 버튼 클릭</t>
    <phoneticPr fontId="1" type="noConversion"/>
  </si>
  <si>
    <t>1. '화면목록' 버튼 클릭
2. 팝업된 메뉴에서 'TabBar_test' 선택</t>
    <phoneticPr fontId="1" type="noConversion"/>
  </si>
  <si>
    <t>TabBar_test 탭을 제외한 모든 탭이 닫힘</t>
    <phoneticPr fontId="1" type="noConversion"/>
  </si>
  <si>
    <t>1. '최대화' 버튼 클릭</t>
    <phoneticPr fontId="1" type="noConversion"/>
  </si>
  <si>
    <t>Frame의 titlebar가 사라지고 최대화 됨</t>
    <phoneticPr fontId="1" type="noConversion"/>
  </si>
  <si>
    <t>1. 'frame 생성' 버튼 클릭
2. '중첩배열' 버튼 클릭</t>
    <phoneticPr fontId="1" type="noConversion"/>
  </si>
  <si>
    <t>Frame들이 중첩으로 배열됨</t>
    <phoneticPr fontId="1" type="noConversion"/>
  </si>
  <si>
    <t>1. '수평배열' 버튼 클릭</t>
    <phoneticPr fontId="1" type="noConversion"/>
  </si>
  <si>
    <t>1. '수직배열' 버튼 클릭</t>
    <phoneticPr fontId="1" type="noConversion"/>
  </si>
  <si>
    <t>Frame들이 일정한 크기로 수평 배열됨</t>
    <phoneticPr fontId="1" type="noConversion"/>
  </si>
  <si>
    <t>Frame들이 일정한 크기로 수직 배열됨</t>
    <phoneticPr fontId="1" type="noConversion"/>
  </si>
  <si>
    <t>구분자 사이즈 변경 확인</t>
    <phoneticPr fontId="1" type="noConversion"/>
  </si>
  <si>
    <t>pinbutton 허용,사용 여부 확인</t>
    <phoneticPr fontId="1" type="noConversion"/>
  </si>
  <si>
    <t>tabbar 위치 변경 확인</t>
    <phoneticPr fontId="1" type="noConversion"/>
  </si>
  <si>
    <t>headButton 의 visible 상태 확인</t>
    <phoneticPr fontId="1" type="noConversion"/>
  </si>
  <si>
    <t>headButton 이벤트 확인</t>
    <phoneticPr fontId="1" type="noConversion"/>
  </si>
  <si>
    <t>tabBar 좌측 맨 앞에 headButton 2개가 표시됨</t>
    <phoneticPr fontId="1" type="noConversion"/>
  </si>
  <si>
    <t>1. 프로젝트 로딩 시 tabBar 좌측 맨 앞에 headButton 확인</t>
    <phoneticPr fontId="1" type="noConversion"/>
  </si>
  <si>
    <t>1. 'headbuttoncount' 옆 Edit에 '5' 확인 후 'headbuttoncount' 버튼 클릭
2. Edit에 '0' 입력</t>
    <phoneticPr fontId="1" type="noConversion"/>
  </si>
  <si>
    <t>좌측 끝에 5개의 headbutton 생성되고 0으로 변경하면 모두 사라져야함</t>
    <phoneticPr fontId="1" type="noConversion"/>
  </si>
  <si>
    <t>1. headbutton 에 mouseover 하여 tooltiptext를 확인한다
2. 'change headbutton tooltiptext' 버튼 클릭</t>
    <phoneticPr fontId="1" type="noConversion"/>
  </si>
  <si>
    <t>첫번째 버튼에만 'headbtn' tooltip이 표시되고 버튼 클릭 후 'btn1','btn2'가 표시됨</t>
    <phoneticPr fontId="1" type="noConversion"/>
  </si>
  <si>
    <t>1. tabBar에서 임의의 headButton 클릭</t>
    <phoneticPr fontId="1" type="noConversion"/>
  </si>
  <si>
    <t>1. 'setHeadButtonVisible(1,4,false)' 버튼 클릭</t>
    <phoneticPr fontId="1" type="noConversion"/>
  </si>
  <si>
    <t>1. 'setHeadButtonVisible(1,3,true)' 버튼 클릭</t>
    <phoneticPr fontId="1" type="noConversion"/>
  </si>
  <si>
    <t>1. 'getTabBarHeadButtonVisible(2)' 버튼 클릭</t>
    <phoneticPr fontId="1" type="noConversion"/>
  </si>
  <si>
    <t>1. 'setHeadButtonVisible(1,4,false)' 버튼 클릭
2. 'getTabBarHeadButtonVisible(2)' 버튼 클릭</t>
    <phoneticPr fontId="1" type="noConversion"/>
  </si>
  <si>
    <t>5번째 하늘색 버튼 제외하고 모두 표시되지 않음</t>
    <phoneticPr fontId="1" type="noConversion"/>
  </si>
  <si>
    <t>alert 창에 ontabbarheadbuttonclick 반환</t>
    <phoneticPr fontId="1" type="noConversion"/>
  </si>
  <si>
    <t>setTabBarHeadButtonVisible(from,to,visible)</t>
    <phoneticPr fontId="1" type="noConversion"/>
  </si>
  <si>
    <t>getTabBarHeadButtonVisible(idx)</t>
    <phoneticPr fontId="1" type="noConversion"/>
  </si>
  <si>
    <t>ontabbarheadbuttonclick</t>
    <phoneticPr fontId="1" type="noConversion"/>
  </si>
  <si>
    <t>headButton 추가 테스트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</si>
</sst>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sz val="9"/>
      <color theme="1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</font>
    <font>
      <sz val="9"/>
      <color theme="1"/>
      <name val="맑은 고딕"/>
      <family val="3"/>
      <charset val="129"/>
      <scheme val="minor"/>
    </font>
    <font>
      <sz val="9"/>
      <color theme="1" tint="0.499984740745262"/>
      <name val="맑은 고딕"/>
      <family val="3"/>
      <charset val="129"/>
    </font>
    <font>
      <sz val="9"/>
      <color theme="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0C0C0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2" fillId="0" borderId="0"/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37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2" borderId="1" xfId="0" applyFill="1" applyBorder="1">
      <alignment vertical="center"/>
    </xf>
    <xf numFmtId="0" fontId="0" fillId="3" borderId="1" xfId="0" applyFill="1" applyBorder="1">
      <alignment vertical="center"/>
    </xf>
    <xf numFmtId="0" fontId="0" fillId="3" borderId="1" xfId="0" applyFill="1" applyBorder="1" applyAlignment="1">
      <alignment horizontal="center" vertical="center"/>
    </xf>
    <xf numFmtId="0" fontId="0" fillId="3" borderId="10" xfId="0" applyFill="1" applyBorder="1">
      <alignment vertical="center"/>
    </xf>
    <xf numFmtId="0" fontId="0" fillId="3" borderId="11" xfId="0" applyFill="1" applyBorder="1">
      <alignment vertical="center"/>
    </xf>
    <xf numFmtId="0" fontId="0" fillId="3" borderId="12" xfId="0" applyFill="1" applyBorder="1">
      <alignment vertical="center"/>
    </xf>
    <xf numFmtId="0" fontId="0" fillId="3" borderId="11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2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0" fillId="3" borderId="4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3" borderId="15" xfId="0" applyFill="1" applyBorder="1">
      <alignment vertical="center"/>
    </xf>
    <xf numFmtId="0" fontId="0" fillId="3" borderId="16" xfId="0" applyFill="1" applyBorder="1">
      <alignment vertical="center"/>
    </xf>
    <xf numFmtId="0" fontId="0" fillId="0" borderId="15" xfId="0" applyBorder="1">
      <alignment vertical="center"/>
    </xf>
    <xf numFmtId="0" fontId="0" fillId="0" borderId="16" xfId="0" applyFill="1" applyBorder="1">
      <alignment vertical="center"/>
    </xf>
    <xf numFmtId="0" fontId="0" fillId="2" borderId="15" xfId="0" applyFill="1" applyBorder="1">
      <alignment vertical="center"/>
    </xf>
    <xf numFmtId="0" fontId="0" fillId="2" borderId="16" xfId="0" applyFill="1" applyBorder="1">
      <alignment vertical="center"/>
    </xf>
    <xf numFmtId="0" fontId="0" fillId="0" borderId="18" xfId="0" applyBorder="1">
      <alignment vertical="center"/>
    </xf>
    <xf numFmtId="0" fontId="0" fillId="0" borderId="24" xfId="0" applyBorder="1">
      <alignment vertical="center"/>
    </xf>
    <xf numFmtId="0" fontId="0" fillId="0" borderId="25" xfId="0" applyFill="1" applyBorder="1">
      <alignment vertical="center"/>
    </xf>
    <xf numFmtId="0" fontId="0" fillId="8" borderId="0" xfId="0" applyFill="1">
      <alignment vertical="center"/>
    </xf>
    <xf numFmtId="0" fontId="0" fillId="0" borderId="32" xfId="0" applyFill="1" applyBorder="1">
      <alignment vertical="center"/>
    </xf>
    <xf numFmtId="9" fontId="0" fillId="0" borderId="33" xfId="2" applyFont="1" applyBorder="1">
      <alignment vertical="center"/>
    </xf>
    <xf numFmtId="0" fontId="3" fillId="0" borderId="0" xfId="3">
      <alignment vertical="center"/>
    </xf>
    <xf numFmtId="0" fontId="3" fillId="0" borderId="34" xfId="3" applyBorder="1">
      <alignment vertical="center"/>
    </xf>
    <xf numFmtId="0" fontId="3" fillId="0" borderId="13" xfId="3" applyBorder="1">
      <alignment vertical="center"/>
    </xf>
    <xf numFmtId="0" fontId="3" fillId="0" borderId="14" xfId="3" applyBorder="1">
      <alignment vertical="center"/>
    </xf>
    <xf numFmtId="0" fontId="3" fillId="0" borderId="29" xfId="3" applyBorder="1">
      <alignment vertical="center"/>
    </xf>
    <xf numFmtId="0" fontId="3" fillId="0" borderId="0" xfId="3" applyBorder="1">
      <alignment vertical="center"/>
    </xf>
    <xf numFmtId="0" fontId="3" fillId="0" borderId="30" xfId="3" applyBorder="1">
      <alignment vertical="center"/>
    </xf>
    <xf numFmtId="0" fontId="4" fillId="0" borderId="0" xfId="3" applyFont="1" applyBorder="1" applyAlignment="1">
      <alignment horizontal="center" vertical="center"/>
    </xf>
    <xf numFmtId="0" fontId="3" fillId="0" borderId="35" xfId="3" applyBorder="1">
      <alignment vertical="center"/>
    </xf>
    <xf numFmtId="0" fontId="3" fillId="0" borderId="36" xfId="3" applyBorder="1">
      <alignment vertical="center"/>
    </xf>
    <xf numFmtId="0" fontId="3" fillId="0" borderId="31" xfId="3" applyBorder="1">
      <alignment vertical="center"/>
    </xf>
    <xf numFmtId="0" fontId="6" fillId="0" borderId="0" xfId="3" applyFont="1">
      <alignment vertical="center"/>
    </xf>
    <xf numFmtId="0" fontId="6" fillId="0" borderId="34" xfId="3" applyFont="1" applyBorder="1">
      <alignment vertical="center"/>
    </xf>
    <xf numFmtId="0" fontId="6" fillId="0" borderId="13" xfId="3" applyFont="1" applyBorder="1">
      <alignment vertical="center"/>
    </xf>
    <xf numFmtId="0" fontId="6" fillId="0" borderId="14" xfId="3" applyFont="1" applyBorder="1">
      <alignment vertical="center"/>
    </xf>
    <xf numFmtId="0" fontId="6" fillId="0" borderId="29" xfId="3" applyFont="1" applyBorder="1">
      <alignment vertical="center"/>
    </xf>
    <xf numFmtId="0" fontId="8" fillId="0" borderId="30" xfId="3" applyFont="1" applyBorder="1">
      <alignment vertical="center"/>
    </xf>
    <xf numFmtId="0" fontId="8" fillId="0" borderId="29" xfId="3" applyFont="1" applyBorder="1">
      <alignment vertical="center"/>
    </xf>
    <xf numFmtId="0" fontId="8" fillId="0" borderId="0" xfId="3" applyFont="1" applyBorder="1">
      <alignment vertical="center"/>
    </xf>
    <xf numFmtId="0" fontId="10" fillId="9" borderId="26" xfId="3" applyFont="1" applyFill="1" applyBorder="1" applyAlignment="1">
      <alignment horizontal="center" vertical="center"/>
    </xf>
    <xf numFmtId="0" fontId="10" fillId="9" borderId="27" xfId="3" applyFont="1" applyFill="1" applyBorder="1" applyAlignment="1">
      <alignment horizontal="center" vertical="center"/>
    </xf>
    <xf numFmtId="0" fontId="10" fillId="9" borderId="27" xfId="3" applyFont="1" applyFill="1" applyBorder="1" applyAlignment="1">
      <alignment horizontal="center" vertical="center" wrapText="1"/>
    </xf>
    <xf numFmtId="14" fontId="8" fillId="0" borderId="15" xfId="3" applyNumberFormat="1" applyFont="1" applyBorder="1" applyAlignment="1">
      <alignment horizontal="center" vertical="center"/>
    </xf>
    <xf numFmtId="0" fontId="8" fillId="0" borderId="1" xfId="3" applyFont="1" applyBorder="1" applyAlignment="1">
      <alignment horizontal="center" vertical="center"/>
    </xf>
    <xf numFmtId="0" fontId="8" fillId="0" borderId="15" xfId="3" applyFont="1" applyBorder="1" applyAlignment="1">
      <alignment horizontal="center" vertical="center"/>
    </xf>
    <xf numFmtId="0" fontId="8" fillId="0" borderId="18" xfId="3" applyFont="1" applyBorder="1" applyAlignment="1">
      <alignment horizontal="center" vertical="center"/>
    </xf>
    <xf numFmtId="0" fontId="8" fillId="0" borderId="24" xfId="3" applyFont="1" applyBorder="1" applyAlignment="1">
      <alignment horizontal="center" vertical="center"/>
    </xf>
    <xf numFmtId="0" fontId="8" fillId="0" borderId="35" xfId="3" applyFont="1" applyBorder="1">
      <alignment vertical="center"/>
    </xf>
    <xf numFmtId="0" fontId="8" fillId="0" borderId="36" xfId="3" applyFont="1" applyBorder="1">
      <alignment vertical="center"/>
    </xf>
    <xf numFmtId="0" fontId="8" fillId="0" borderId="31" xfId="3" applyFont="1" applyBorder="1">
      <alignment vertical="center"/>
    </xf>
    <xf numFmtId="0" fontId="0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11" fillId="0" borderId="0" xfId="0" applyFont="1" applyBorder="1" applyAlignment="1">
      <alignment horizontal="left" vertical="center" wrapText="1"/>
    </xf>
    <xf numFmtId="0" fontId="11" fillId="0" borderId="0" xfId="0" applyFont="1" applyFill="1" applyBorder="1" applyAlignment="1">
      <alignment horizontal="left" vertical="center" wrapText="1"/>
    </xf>
    <xf numFmtId="0" fontId="0" fillId="0" borderId="0" xfId="0" applyFill="1" applyBorder="1" applyAlignment="1">
      <alignment vertical="center" wrapText="1"/>
    </xf>
    <xf numFmtId="0" fontId="0" fillId="0" borderId="0" xfId="0" applyBorder="1" applyAlignment="1">
      <alignment horizontal="center" vertical="center" wrapText="1"/>
    </xf>
    <xf numFmtId="0" fontId="0" fillId="3" borderId="11" xfId="0" applyFill="1" applyBorder="1" applyAlignment="1">
      <alignment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12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ill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3" applyFont="1" applyBorder="1" applyAlignment="1">
      <alignment horizontal="center" vertical="center" wrapText="1"/>
    </xf>
    <xf numFmtId="0" fontId="4" fillId="0" borderId="0" xfId="3" applyFont="1" applyBorder="1" applyAlignment="1">
      <alignment horizontal="center" vertical="center"/>
    </xf>
    <xf numFmtId="0" fontId="3" fillId="0" borderId="0" xfId="3" applyBorder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8" fillId="0" borderId="10" xfId="3" applyFont="1" applyBorder="1" applyAlignment="1">
      <alignment horizontal="center" vertical="center"/>
    </xf>
    <xf numFmtId="0" fontId="8" fillId="0" borderId="11" xfId="3" applyFont="1" applyBorder="1" applyAlignment="1">
      <alignment horizontal="center" vertical="center"/>
    </xf>
    <xf numFmtId="0" fontId="8" fillId="0" borderId="17" xfId="3" applyFont="1" applyBorder="1" applyAlignment="1">
      <alignment horizontal="center" vertical="center"/>
    </xf>
    <xf numFmtId="0" fontId="7" fillId="0" borderId="0" xfId="3" applyFont="1" applyAlignment="1">
      <alignment horizontal="center" vertical="center"/>
    </xf>
    <xf numFmtId="0" fontId="9" fillId="0" borderId="0" xfId="3" applyFont="1" applyAlignment="1">
      <alignment horizontal="left" vertical="center" wrapText="1"/>
    </xf>
    <xf numFmtId="0" fontId="9" fillId="0" borderId="0" xfId="3" applyFont="1" applyAlignment="1">
      <alignment horizontal="left" vertical="center"/>
    </xf>
    <xf numFmtId="0" fontId="10" fillId="9" borderId="27" xfId="3" applyFont="1" applyFill="1" applyBorder="1" applyAlignment="1">
      <alignment horizontal="center" vertical="center" wrapText="1"/>
    </xf>
    <xf numFmtId="0" fontId="10" fillId="9" borderId="28" xfId="3" applyFont="1" applyFill="1" applyBorder="1" applyAlignment="1">
      <alignment horizontal="center" vertical="center" wrapText="1"/>
    </xf>
    <xf numFmtId="0" fontId="8" fillId="0" borderId="10" xfId="3" applyFont="1" applyBorder="1" applyAlignment="1">
      <alignment horizontal="center" vertical="center" wrapText="1"/>
    </xf>
    <xf numFmtId="0" fontId="8" fillId="0" borderId="11" xfId="3" applyFont="1" applyBorder="1" applyAlignment="1">
      <alignment horizontal="center" vertical="center" wrapText="1"/>
    </xf>
    <xf numFmtId="0" fontId="8" fillId="0" borderId="17" xfId="3" applyFont="1" applyBorder="1" applyAlignment="1">
      <alignment horizontal="center" vertical="center" wrapText="1"/>
    </xf>
    <xf numFmtId="0" fontId="8" fillId="0" borderId="19" xfId="3" applyFont="1" applyBorder="1" applyAlignment="1">
      <alignment horizontal="center" vertical="center"/>
    </xf>
    <xf numFmtId="0" fontId="8" fillId="0" borderId="20" xfId="3" applyFont="1" applyBorder="1" applyAlignment="1">
      <alignment horizontal="center" vertical="center"/>
    </xf>
    <xf numFmtId="0" fontId="8" fillId="0" borderId="21" xfId="3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7" borderId="22" xfId="0" applyFill="1" applyBorder="1" applyAlignment="1">
      <alignment horizontal="center" vertical="center"/>
    </xf>
    <xf numFmtId="0" fontId="0" fillId="7" borderId="23" xfId="0" applyFill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6" borderId="26" xfId="0" applyFill="1" applyBorder="1" applyAlignment="1">
      <alignment horizontal="center" vertical="center"/>
    </xf>
    <xf numFmtId="0" fontId="0" fillId="6" borderId="15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6" borderId="27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24" xfId="0" applyNumberFormat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3" borderId="37" xfId="0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3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0" fillId="6" borderId="38" xfId="0" applyFill="1" applyBorder="1" applyAlignment="1">
      <alignment horizontal="center" vertical="center"/>
    </xf>
    <xf numFmtId="0" fontId="0" fillId="6" borderId="17" xfId="0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7" xfId="0" applyBorder="1">
      <alignment vertical="center"/>
    </xf>
    <xf numFmtId="0" fontId="0" fillId="0" borderId="21" xfId="0" applyBorder="1">
      <alignment vertical="center"/>
    </xf>
  </cellXfs>
  <cellStyles count="4">
    <cellStyle name="백분율" xfId="2" builtinId="5"/>
    <cellStyle name="표준" xfId="0" builtinId="0"/>
    <cellStyle name="표준 2" xfId="1"/>
    <cellStyle name="표준 6" xfId="3"/>
  </cellStyles>
  <dxfs count="35"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200025</xdr:colOff>
      <xdr:row>1</xdr:row>
      <xdr:rowOff>200025</xdr:rowOff>
    </xdr:from>
    <xdr:to>
      <xdr:col>3</xdr:col>
      <xdr:colOff>361950</xdr:colOff>
      <xdr:row>4</xdr:row>
      <xdr:rowOff>38100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76250" y="419100"/>
          <a:ext cx="1533525" cy="466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41"/>
  <sheetViews>
    <sheetView workbookViewId="0">
      <selection activeCell="C14" sqref="C14"/>
    </sheetView>
  </sheetViews>
  <sheetFormatPr defaultColWidth="9" defaultRowHeight="16.5" x14ac:dyDescent="0.3"/>
  <cols>
    <col min="1" max="1" width="3.625" style="37" customWidth="1"/>
    <col min="2" max="10" width="9" style="37"/>
    <col min="11" max="11" width="3.625" style="37" customWidth="1"/>
    <col min="12" max="16384" width="9" style="37"/>
  </cols>
  <sheetData>
    <row r="1" spans="2:10" ht="17.25" thickBot="1" x14ac:dyDescent="0.35"/>
    <row r="2" spans="2:10" x14ac:dyDescent="0.3">
      <c r="B2" s="38"/>
      <c r="C2" s="39"/>
      <c r="D2" s="39"/>
      <c r="E2" s="39"/>
      <c r="F2" s="39"/>
      <c r="G2" s="39"/>
      <c r="H2" s="39"/>
      <c r="I2" s="39"/>
      <c r="J2" s="40"/>
    </row>
    <row r="3" spans="2:10" x14ac:dyDescent="0.3">
      <c r="B3" s="41"/>
      <c r="C3" s="42"/>
      <c r="D3" s="42"/>
      <c r="E3" s="42"/>
      <c r="F3" s="42"/>
      <c r="G3" s="42"/>
      <c r="H3" s="42"/>
      <c r="I3" s="42"/>
      <c r="J3" s="43"/>
    </row>
    <row r="4" spans="2:10" x14ac:dyDescent="0.3">
      <c r="B4" s="41"/>
      <c r="C4" s="42"/>
      <c r="D4" s="42"/>
      <c r="E4" s="42"/>
      <c r="F4" s="42"/>
      <c r="G4" s="42"/>
      <c r="H4" s="42"/>
      <c r="I4" s="42"/>
      <c r="J4" s="43"/>
    </row>
    <row r="5" spans="2:10" x14ac:dyDescent="0.3">
      <c r="B5" s="41"/>
      <c r="C5" s="42"/>
      <c r="D5" s="42"/>
      <c r="E5" s="42"/>
      <c r="F5" s="42"/>
      <c r="G5" s="42"/>
      <c r="H5" s="42"/>
      <c r="I5" s="42"/>
      <c r="J5" s="43"/>
    </row>
    <row r="6" spans="2:10" x14ac:dyDescent="0.3">
      <c r="B6" s="41"/>
      <c r="C6" s="42"/>
      <c r="D6" s="42"/>
      <c r="E6" s="42"/>
      <c r="F6" s="42"/>
      <c r="G6" s="42"/>
      <c r="H6" s="42"/>
      <c r="I6" s="42"/>
      <c r="J6" s="43"/>
    </row>
    <row r="7" spans="2:10" x14ac:dyDescent="0.3">
      <c r="B7" s="41"/>
      <c r="C7" s="42"/>
      <c r="D7" s="42"/>
      <c r="E7" s="42"/>
      <c r="F7" s="42"/>
      <c r="G7" s="42"/>
      <c r="H7" s="42"/>
      <c r="I7" s="42"/>
      <c r="J7" s="43"/>
    </row>
    <row r="8" spans="2:10" x14ac:dyDescent="0.3">
      <c r="B8" s="41"/>
      <c r="C8" s="42"/>
      <c r="D8" s="42"/>
      <c r="E8" s="42"/>
      <c r="F8" s="42"/>
      <c r="G8" s="42"/>
      <c r="H8" s="42"/>
      <c r="I8" s="42"/>
      <c r="J8" s="43"/>
    </row>
    <row r="9" spans="2:10" x14ac:dyDescent="0.3">
      <c r="B9" s="41"/>
      <c r="C9" s="42"/>
      <c r="D9" s="42"/>
      <c r="E9" s="42"/>
      <c r="F9" s="42"/>
      <c r="G9" s="42"/>
      <c r="H9" s="42"/>
      <c r="I9" s="42"/>
      <c r="J9" s="43"/>
    </row>
    <row r="10" spans="2:10" x14ac:dyDescent="0.3">
      <c r="B10" s="41"/>
      <c r="J10" s="43"/>
    </row>
    <row r="11" spans="2:10" x14ac:dyDescent="0.3">
      <c r="B11" s="41"/>
      <c r="J11" s="43"/>
    </row>
    <row r="12" spans="2:10" x14ac:dyDescent="0.3">
      <c r="B12" s="41"/>
      <c r="C12" s="42"/>
      <c r="D12" s="42"/>
      <c r="E12" s="42"/>
      <c r="F12" s="42"/>
      <c r="G12" s="42"/>
      <c r="H12" s="42"/>
      <c r="I12" s="42"/>
      <c r="J12" s="43"/>
    </row>
    <row r="13" spans="2:10" ht="54" customHeight="1" x14ac:dyDescent="0.3">
      <c r="B13" s="41"/>
      <c r="C13" s="82" t="s">
        <v>87</v>
      </c>
      <c r="D13" s="83"/>
      <c r="E13" s="83"/>
      <c r="F13" s="83"/>
      <c r="G13" s="83"/>
      <c r="H13" s="83"/>
      <c r="I13" s="83"/>
      <c r="J13" s="43"/>
    </row>
    <row r="14" spans="2:10" ht="20.25" x14ac:dyDescent="0.3">
      <c r="B14" s="41"/>
      <c r="C14" s="44"/>
      <c r="D14" s="44"/>
      <c r="E14" s="44"/>
      <c r="F14" s="44"/>
      <c r="G14" s="44"/>
      <c r="H14" s="44"/>
      <c r="I14" s="44"/>
      <c r="J14" s="43"/>
    </row>
    <row r="15" spans="2:10" x14ac:dyDescent="0.3">
      <c r="B15" s="41"/>
      <c r="C15" s="84"/>
      <c r="D15" s="84"/>
      <c r="E15" s="84"/>
      <c r="F15" s="84"/>
      <c r="G15" s="84"/>
      <c r="H15" s="84"/>
      <c r="I15" s="84"/>
      <c r="J15" s="43"/>
    </row>
    <row r="16" spans="2:10" x14ac:dyDescent="0.3">
      <c r="B16" s="41"/>
      <c r="C16" s="42"/>
      <c r="D16" s="42"/>
      <c r="E16" s="42"/>
      <c r="F16" s="42"/>
      <c r="G16" s="42"/>
      <c r="H16" s="42"/>
      <c r="I16" s="42"/>
      <c r="J16" s="43"/>
    </row>
    <row r="17" spans="2:10" x14ac:dyDescent="0.3">
      <c r="B17" s="41"/>
      <c r="C17" s="42"/>
      <c r="D17" s="42"/>
      <c r="E17" s="42"/>
      <c r="F17" s="42"/>
      <c r="G17" s="42"/>
      <c r="H17" s="42"/>
      <c r="I17" s="42"/>
      <c r="J17" s="43"/>
    </row>
    <row r="18" spans="2:10" x14ac:dyDescent="0.3">
      <c r="B18" s="41"/>
      <c r="C18" s="42"/>
      <c r="D18" s="42"/>
      <c r="E18" s="42"/>
      <c r="F18" s="42"/>
      <c r="G18" s="42"/>
      <c r="H18" s="42"/>
      <c r="I18" s="42"/>
      <c r="J18" s="43"/>
    </row>
    <row r="19" spans="2:10" x14ac:dyDescent="0.3">
      <c r="B19" s="41"/>
      <c r="C19" s="42"/>
      <c r="D19" s="42"/>
      <c r="E19" s="42"/>
      <c r="F19" s="42"/>
      <c r="G19" s="42"/>
      <c r="H19" s="42"/>
      <c r="I19" s="42"/>
      <c r="J19" s="43"/>
    </row>
    <row r="20" spans="2:10" x14ac:dyDescent="0.3">
      <c r="B20" s="41"/>
      <c r="C20" s="42"/>
      <c r="D20" s="42"/>
      <c r="E20" s="42"/>
      <c r="F20" s="42"/>
      <c r="G20" s="42"/>
      <c r="H20" s="42"/>
      <c r="I20" s="42"/>
      <c r="J20" s="43"/>
    </row>
    <row r="21" spans="2:10" x14ac:dyDescent="0.3">
      <c r="B21" s="41"/>
      <c r="C21" s="42"/>
      <c r="D21" s="42"/>
      <c r="E21" s="42"/>
      <c r="F21" s="42"/>
      <c r="G21" s="42"/>
      <c r="H21" s="42"/>
      <c r="I21" s="42"/>
      <c r="J21" s="43"/>
    </row>
    <row r="22" spans="2:10" x14ac:dyDescent="0.3">
      <c r="B22" s="41"/>
      <c r="C22" s="42"/>
      <c r="D22" s="42"/>
      <c r="E22" s="42"/>
      <c r="F22" s="42"/>
      <c r="G22" s="42"/>
      <c r="H22" s="42"/>
      <c r="I22" s="42"/>
      <c r="J22" s="43"/>
    </row>
    <row r="23" spans="2:10" x14ac:dyDescent="0.3">
      <c r="B23" s="41"/>
      <c r="C23" s="42"/>
      <c r="D23" s="42"/>
      <c r="E23" s="42"/>
      <c r="F23" s="42"/>
      <c r="G23" s="42"/>
      <c r="H23" s="42"/>
      <c r="I23" s="42"/>
      <c r="J23" s="43"/>
    </row>
    <row r="24" spans="2:10" x14ac:dyDescent="0.3">
      <c r="B24" s="41"/>
      <c r="C24" s="42"/>
      <c r="D24" s="42"/>
      <c r="E24" s="42"/>
      <c r="F24" s="42"/>
      <c r="G24" s="42"/>
      <c r="H24" s="42"/>
      <c r="I24" s="42"/>
      <c r="J24" s="43"/>
    </row>
    <row r="25" spans="2:10" x14ac:dyDescent="0.3">
      <c r="B25" s="41"/>
      <c r="C25" s="42"/>
      <c r="D25" s="42"/>
      <c r="E25" s="42"/>
      <c r="F25" s="42"/>
      <c r="G25" s="42"/>
      <c r="H25" s="42"/>
      <c r="I25" s="42"/>
      <c r="J25" s="43"/>
    </row>
    <row r="26" spans="2:10" x14ac:dyDescent="0.3">
      <c r="B26" s="41"/>
      <c r="C26" s="42"/>
      <c r="D26" s="42"/>
      <c r="E26" s="42"/>
      <c r="F26" s="42"/>
      <c r="G26" s="42"/>
      <c r="H26" s="42"/>
      <c r="I26" s="42"/>
      <c r="J26" s="43"/>
    </row>
    <row r="27" spans="2:10" x14ac:dyDescent="0.3">
      <c r="B27" s="41"/>
      <c r="C27" s="42"/>
      <c r="D27" s="42"/>
      <c r="E27" s="42"/>
      <c r="F27" s="42"/>
      <c r="G27" s="42"/>
      <c r="H27" s="42"/>
      <c r="I27" s="42"/>
      <c r="J27" s="43"/>
    </row>
    <row r="28" spans="2:10" x14ac:dyDescent="0.3">
      <c r="B28" s="41"/>
      <c r="C28" s="42"/>
      <c r="D28" s="42"/>
      <c r="E28" s="42"/>
      <c r="F28" s="42"/>
      <c r="G28" s="42"/>
      <c r="H28" s="42"/>
      <c r="I28" s="42"/>
      <c r="J28" s="43"/>
    </row>
    <row r="29" spans="2:10" x14ac:dyDescent="0.3">
      <c r="B29" s="41"/>
      <c r="C29" s="42"/>
      <c r="D29" s="42"/>
      <c r="E29" s="42"/>
      <c r="F29" s="42"/>
      <c r="J29" s="43"/>
    </row>
    <row r="30" spans="2:10" x14ac:dyDescent="0.3">
      <c r="B30" s="41"/>
      <c r="C30" s="42"/>
      <c r="D30" s="42"/>
      <c r="E30" s="42"/>
      <c r="F30" s="42"/>
      <c r="J30" s="43"/>
    </row>
    <row r="31" spans="2:10" x14ac:dyDescent="0.3">
      <c r="B31" s="41"/>
      <c r="C31" s="42"/>
      <c r="D31" s="42"/>
      <c r="E31" s="42"/>
      <c r="F31" s="42"/>
      <c r="J31" s="43"/>
    </row>
    <row r="32" spans="2:10" x14ac:dyDescent="0.3">
      <c r="B32" s="41"/>
      <c r="C32" s="42"/>
      <c r="D32" s="42"/>
      <c r="E32" s="42"/>
      <c r="F32" s="42"/>
      <c r="G32" s="42"/>
      <c r="H32" s="42"/>
      <c r="I32" s="42"/>
      <c r="J32" s="43"/>
    </row>
    <row r="33" spans="2:10" x14ac:dyDescent="0.3">
      <c r="B33" s="41"/>
      <c r="C33" s="42"/>
      <c r="D33" s="42"/>
      <c r="E33" s="42"/>
      <c r="F33" s="42"/>
      <c r="G33" s="42"/>
      <c r="H33" s="42"/>
      <c r="I33" s="42"/>
      <c r="J33" s="43"/>
    </row>
    <row r="34" spans="2:10" x14ac:dyDescent="0.3">
      <c r="B34" s="41"/>
      <c r="C34" s="42"/>
      <c r="D34" s="42"/>
      <c r="E34" s="42"/>
      <c r="F34" s="42"/>
      <c r="G34" s="42"/>
      <c r="H34" s="42"/>
      <c r="I34" s="42"/>
      <c r="J34" s="43"/>
    </row>
    <row r="35" spans="2:10" x14ac:dyDescent="0.3">
      <c r="B35" s="41"/>
      <c r="C35" s="42"/>
      <c r="D35" s="42"/>
      <c r="E35" s="42"/>
      <c r="F35" s="42"/>
      <c r="G35" s="42"/>
      <c r="H35" s="42"/>
      <c r="I35" s="42"/>
      <c r="J35" s="43"/>
    </row>
    <row r="36" spans="2:10" x14ac:dyDescent="0.3">
      <c r="B36" s="41"/>
      <c r="C36" s="85" t="s">
        <v>75</v>
      </c>
      <c r="D36" s="85"/>
      <c r="E36" s="85"/>
      <c r="F36" s="85"/>
      <c r="G36" s="85"/>
      <c r="H36" s="85"/>
      <c r="I36" s="85"/>
      <c r="J36" s="43"/>
    </row>
    <row r="37" spans="2:10" x14ac:dyDescent="0.3">
      <c r="B37" s="41"/>
      <c r="C37" s="42"/>
      <c r="D37" s="42"/>
      <c r="E37" s="42"/>
      <c r="F37" s="42"/>
      <c r="G37" s="42"/>
      <c r="H37" s="42"/>
      <c r="I37" s="42"/>
      <c r="J37" s="43"/>
    </row>
    <row r="38" spans="2:10" x14ac:dyDescent="0.3">
      <c r="B38" s="41"/>
      <c r="C38" s="42"/>
      <c r="D38" s="42"/>
      <c r="E38" s="42"/>
      <c r="F38" s="42"/>
      <c r="G38" s="42"/>
      <c r="H38" s="42"/>
      <c r="I38" s="42"/>
      <c r="J38" s="43"/>
    </row>
    <row r="39" spans="2:10" x14ac:dyDescent="0.3">
      <c r="B39" s="41"/>
      <c r="C39" s="42"/>
      <c r="D39" s="42"/>
      <c r="E39" s="42"/>
      <c r="F39" s="42"/>
      <c r="G39" s="42"/>
      <c r="H39" s="42"/>
      <c r="I39" s="42"/>
      <c r="J39" s="43"/>
    </row>
    <row r="40" spans="2:10" x14ac:dyDescent="0.3">
      <c r="B40" s="41"/>
      <c r="C40" s="42"/>
      <c r="D40" s="42"/>
      <c r="E40" s="42"/>
      <c r="F40" s="42"/>
      <c r="G40" s="42"/>
      <c r="H40" s="42"/>
      <c r="I40" s="42"/>
      <c r="J40" s="43"/>
    </row>
    <row r="41" spans="2:10" ht="17.25" thickBot="1" x14ac:dyDescent="0.35">
      <c r="B41" s="45"/>
      <c r="C41" s="46"/>
      <c r="D41" s="46"/>
      <c r="E41" s="46"/>
      <c r="F41" s="46"/>
      <c r="G41" s="46"/>
      <c r="H41" s="46"/>
      <c r="I41" s="46"/>
      <c r="J41" s="47"/>
    </row>
  </sheetData>
  <mergeCells count="3">
    <mergeCell ref="C13:I13"/>
    <mergeCell ref="C15:I15"/>
    <mergeCell ref="C36:I36"/>
  </mergeCells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42"/>
  <sheetViews>
    <sheetView workbookViewId="0">
      <selection activeCell="C9" sqref="C9"/>
    </sheetView>
  </sheetViews>
  <sheetFormatPr defaultColWidth="9" defaultRowHeight="12" x14ac:dyDescent="0.3"/>
  <cols>
    <col min="1" max="2" width="3.625" style="48" customWidth="1"/>
    <col min="3" max="6" width="10" style="48" customWidth="1"/>
    <col min="7" max="8" width="9" style="48"/>
    <col min="9" max="9" width="18.375" style="48" customWidth="1"/>
    <col min="10" max="11" width="3.625" style="48" customWidth="1"/>
    <col min="12" max="16384" width="9" style="48"/>
  </cols>
  <sheetData>
    <row r="1" spans="2:10" ht="12.75" thickBot="1" x14ac:dyDescent="0.35"/>
    <row r="2" spans="2:10" x14ac:dyDescent="0.3">
      <c r="B2" s="49"/>
      <c r="C2" s="50"/>
      <c r="D2" s="50"/>
      <c r="E2" s="50"/>
      <c r="F2" s="50"/>
      <c r="G2" s="50"/>
      <c r="H2" s="50"/>
      <c r="I2" s="50"/>
      <c r="J2" s="51"/>
    </row>
    <row r="3" spans="2:10" ht="17.25" x14ac:dyDescent="0.3">
      <c r="B3" s="52"/>
      <c r="C3" s="89" t="s">
        <v>76</v>
      </c>
      <c r="D3" s="89"/>
      <c r="E3" s="89"/>
      <c r="F3" s="89"/>
      <c r="G3" s="89"/>
      <c r="H3" s="89"/>
      <c r="I3" s="89"/>
      <c r="J3" s="53"/>
    </row>
    <row r="4" spans="2:10" x14ac:dyDescent="0.3">
      <c r="B4" s="54"/>
      <c r="C4" s="55"/>
      <c r="D4" s="55"/>
      <c r="E4" s="55"/>
      <c r="F4" s="55"/>
      <c r="G4" s="55"/>
      <c r="H4" s="55"/>
      <c r="I4" s="55"/>
      <c r="J4" s="53"/>
    </row>
    <row r="5" spans="2:10" x14ac:dyDescent="0.3">
      <c r="B5" s="54"/>
      <c r="C5" s="90" t="s">
        <v>77</v>
      </c>
      <c r="D5" s="91"/>
      <c r="E5" s="91"/>
      <c r="F5" s="91"/>
      <c r="G5" s="91"/>
      <c r="H5" s="91"/>
      <c r="I5" s="91"/>
      <c r="J5" s="53"/>
    </row>
    <row r="6" spans="2:10" ht="12.75" thickBot="1" x14ac:dyDescent="0.35">
      <c r="B6" s="54"/>
      <c r="C6" s="55"/>
      <c r="D6" s="55"/>
      <c r="E6" s="55"/>
      <c r="F6" s="55"/>
      <c r="G6" s="55"/>
      <c r="H6" s="55"/>
      <c r="I6" s="55"/>
      <c r="J6" s="53"/>
    </row>
    <row r="7" spans="2:10" x14ac:dyDescent="0.3">
      <c r="B7" s="54"/>
      <c r="C7" s="56" t="s">
        <v>78</v>
      </c>
      <c r="D7" s="57" t="s">
        <v>79</v>
      </c>
      <c r="E7" s="57" t="s">
        <v>80</v>
      </c>
      <c r="F7" s="58" t="s">
        <v>81</v>
      </c>
      <c r="G7" s="92" t="s">
        <v>82</v>
      </c>
      <c r="H7" s="92"/>
      <c r="I7" s="93"/>
      <c r="J7" s="53"/>
    </row>
    <row r="8" spans="2:10" x14ac:dyDescent="0.3">
      <c r="B8" s="54"/>
      <c r="C8" s="59">
        <v>45817</v>
      </c>
      <c r="D8" s="60" t="s">
        <v>84</v>
      </c>
      <c r="E8" s="60"/>
      <c r="F8" s="60"/>
      <c r="G8" s="86" t="s">
        <v>83</v>
      </c>
      <c r="H8" s="87"/>
      <c r="I8" s="88"/>
      <c r="J8" s="53"/>
    </row>
    <row r="9" spans="2:10" x14ac:dyDescent="0.3">
      <c r="B9" s="54"/>
      <c r="C9" s="59"/>
      <c r="D9" s="60"/>
      <c r="E9" s="60"/>
      <c r="F9" s="60"/>
      <c r="G9" s="86"/>
      <c r="H9" s="87"/>
      <c r="I9" s="88"/>
      <c r="J9" s="53"/>
    </row>
    <row r="10" spans="2:10" x14ac:dyDescent="0.3">
      <c r="B10" s="54"/>
      <c r="C10" s="59"/>
      <c r="D10" s="60"/>
      <c r="E10" s="60"/>
      <c r="F10" s="60"/>
      <c r="G10" s="86"/>
      <c r="H10" s="87"/>
      <c r="I10" s="88"/>
      <c r="J10" s="53"/>
    </row>
    <row r="11" spans="2:10" x14ac:dyDescent="0.3">
      <c r="B11" s="54"/>
      <c r="C11" s="59"/>
      <c r="D11" s="60"/>
      <c r="E11" s="60"/>
      <c r="F11" s="60"/>
      <c r="G11" s="86"/>
      <c r="H11" s="87"/>
      <c r="I11" s="88"/>
      <c r="J11" s="53"/>
    </row>
    <row r="12" spans="2:10" x14ac:dyDescent="0.3">
      <c r="B12" s="54"/>
      <c r="C12" s="59"/>
      <c r="D12" s="60"/>
      <c r="E12" s="60"/>
      <c r="F12" s="60"/>
      <c r="G12" s="94"/>
      <c r="H12" s="95"/>
      <c r="I12" s="96"/>
      <c r="J12" s="53"/>
    </row>
    <row r="13" spans="2:10" x14ac:dyDescent="0.3">
      <c r="B13" s="54"/>
      <c r="C13" s="59"/>
      <c r="D13" s="60"/>
      <c r="E13" s="60"/>
      <c r="F13" s="60"/>
      <c r="G13" s="86"/>
      <c r="H13" s="87"/>
      <c r="I13" s="88"/>
      <c r="J13" s="53"/>
    </row>
    <row r="14" spans="2:10" x14ac:dyDescent="0.3">
      <c r="B14" s="54"/>
      <c r="C14" s="59"/>
      <c r="D14" s="60"/>
      <c r="E14" s="60"/>
      <c r="F14" s="60"/>
      <c r="G14" s="86"/>
      <c r="H14" s="87"/>
      <c r="I14" s="88"/>
      <c r="J14" s="53"/>
    </row>
    <row r="15" spans="2:10" x14ac:dyDescent="0.3">
      <c r="B15" s="54"/>
      <c r="C15" s="59"/>
      <c r="D15" s="60"/>
      <c r="E15" s="60"/>
      <c r="F15" s="60"/>
      <c r="G15" s="86"/>
      <c r="H15" s="87"/>
      <c r="I15" s="88"/>
      <c r="J15" s="53"/>
    </row>
    <row r="16" spans="2:10" x14ac:dyDescent="0.3">
      <c r="B16" s="54"/>
      <c r="C16" s="59"/>
      <c r="D16" s="60"/>
      <c r="E16" s="60"/>
      <c r="F16" s="60"/>
      <c r="G16" s="86"/>
      <c r="H16" s="87"/>
      <c r="I16" s="88"/>
      <c r="J16" s="53"/>
    </row>
    <row r="17" spans="2:10" x14ac:dyDescent="0.3">
      <c r="B17" s="54"/>
      <c r="C17" s="59"/>
      <c r="D17" s="60"/>
      <c r="E17" s="60"/>
      <c r="F17" s="60"/>
      <c r="G17" s="86"/>
      <c r="H17" s="87"/>
      <c r="I17" s="88"/>
      <c r="J17" s="53"/>
    </row>
    <row r="18" spans="2:10" x14ac:dyDescent="0.3">
      <c r="B18" s="54"/>
      <c r="C18" s="59"/>
      <c r="D18" s="60"/>
      <c r="E18" s="60"/>
      <c r="F18" s="60"/>
      <c r="G18" s="86"/>
      <c r="H18" s="87"/>
      <c r="I18" s="88"/>
      <c r="J18" s="53"/>
    </row>
    <row r="19" spans="2:10" x14ac:dyDescent="0.3">
      <c r="B19" s="54"/>
      <c r="C19" s="59"/>
      <c r="D19" s="60"/>
      <c r="E19" s="60"/>
      <c r="F19" s="60"/>
      <c r="G19" s="86"/>
      <c r="H19" s="87"/>
      <c r="I19" s="88"/>
      <c r="J19" s="53"/>
    </row>
    <row r="20" spans="2:10" x14ac:dyDescent="0.3">
      <c r="B20" s="54"/>
      <c r="C20" s="59"/>
      <c r="D20" s="60"/>
      <c r="E20" s="60"/>
      <c r="F20" s="60"/>
      <c r="G20" s="86"/>
      <c r="H20" s="87"/>
      <c r="I20" s="88"/>
      <c r="J20" s="53"/>
    </row>
    <row r="21" spans="2:10" x14ac:dyDescent="0.3">
      <c r="B21" s="54"/>
      <c r="C21" s="59"/>
      <c r="D21" s="60"/>
      <c r="E21" s="60"/>
      <c r="F21" s="60"/>
      <c r="G21" s="86"/>
      <c r="H21" s="87"/>
      <c r="I21" s="88"/>
      <c r="J21" s="53"/>
    </row>
    <row r="22" spans="2:10" x14ac:dyDescent="0.3">
      <c r="B22" s="54"/>
      <c r="C22" s="59"/>
      <c r="D22" s="60"/>
      <c r="E22" s="60"/>
      <c r="F22" s="60"/>
      <c r="G22" s="86"/>
      <c r="H22" s="87"/>
      <c r="I22" s="88"/>
      <c r="J22" s="53"/>
    </row>
    <row r="23" spans="2:10" x14ac:dyDescent="0.3">
      <c r="B23" s="54"/>
      <c r="C23" s="59"/>
      <c r="D23" s="60"/>
      <c r="E23" s="60"/>
      <c r="F23" s="60"/>
      <c r="G23" s="86"/>
      <c r="H23" s="87"/>
      <c r="I23" s="88"/>
      <c r="J23" s="53"/>
    </row>
    <row r="24" spans="2:10" x14ac:dyDescent="0.3">
      <c r="B24" s="54"/>
      <c r="C24" s="59"/>
      <c r="D24" s="60"/>
      <c r="E24" s="60"/>
      <c r="F24" s="60"/>
      <c r="G24" s="86"/>
      <c r="H24" s="87"/>
      <c r="I24" s="88"/>
      <c r="J24" s="53"/>
    </row>
    <row r="25" spans="2:10" x14ac:dyDescent="0.3">
      <c r="B25" s="54"/>
      <c r="C25" s="59"/>
      <c r="D25" s="60"/>
      <c r="E25" s="60"/>
      <c r="F25" s="60"/>
      <c r="G25" s="86"/>
      <c r="H25" s="87"/>
      <c r="I25" s="88"/>
      <c r="J25" s="53"/>
    </row>
    <row r="26" spans="2:10" x14ac:dyDescent="0.3">
      <c r="B26" s="54"/>
      <c r="C26" s="59"/>
      <c r="D26" s="60"/>
      <c r="E26" s="60"/>
      <c r="F26" s="60"/>
      <c r="G26" s="86"/>
      <c r="H26" s="87"/>
      <c r="I26" s="88"/>
      <c r="J26" s="53"/>
    </row>
    <row r="27" spans="2:10" x14ac:dyDescent="0.3">
      <c r="B27" s="54"/>
      <c r="C27" s="59"/>
      <c r="D27" s="60"/>
      <c r="E27" s="60"/>
      <c r="F27" s="60"/>
      <c r="G27" s="86"/>
      <c r="H27" s="87"/>
      <c r="I27" s="88"/>
      <c r="J27" s="53"/>
    </row>
    <row r="28" spans="2:10" x14ac:dyDescent="0.3">
      <c r="B28" s="54"/>
      <c r="C28" s="59"/>
      <c r="D28" s="60"/>
      <c r="E28" s="60"/>
      <c r="F28" s="60"/>
      <c r="G28" s="86"/>
      <c r="H28" s="87"/>
      <c r="I28" s="88"/>
      <c r="J28" s="53"/>
    </row>
    <row r="29" spans="2:10" x14ac:dyDescent="0.3">
      <c r="B29" s="54"/>
      <c r="C29" s="59"/>
      <c r="D29" s="60"/>
      <c r="E29" s="60"/>
      <c r="F29" s="60"/>
      <c r="G29" s="86"/>
      <c r="H29" s="87"/>
      <c r="I29" s="88"/>
      <c r="J29" s="53"/>
    </row>
    <row r="30" spans="2:10" x14ac:dyDescent="0.3">
      <c r="B30" s="54"/>
      <c r="C30" s="59"/>
      <c r="D30" s="60"/>
      <c r="E30" s="60"/>
      <c r="F30" s="60"/>
      <c r="G30" s="86"/>
      <c r="H30" s="87"/>
      <c r="I30" s="88"/>
      <c r="J30" s="53"/>
    </row>
    <row r="31" spans="2:10" x14ac:dyDescent="0.3">
      <c r="B31" s="54"/>
      <c r="C31" s="59"/>
      <c r="D31" s="60"/>
      <c r="E31" s="60"/>
      <c r="F31" s="60"/>
      <c r="G31" s="86"/>
      <c r="H31" s="87"/>
      <c r="I31" s="88"/>
      <c r="J31" s="53"/>
    </row>
    <row r="32" spans="2:10" x14ac:dyDescent="0.3">
      <c r="B32" s="54"/>
      <c r="C32" s="61"/>
      <c r="D32" s="60"/>
      <c r="E32" s="60"/>
      <c r="F32" s="60"/>
      <c r="G32" s="86"/>
      <c r="H32" s="87"/>
      <c r="I32" s="88"/>
      <c r="J32" s="53"/>
    </row>
    <row r="33" spans="2:10" x14ac:dyDescent="0.3">
      <c r="B33" s="54"/>
      <c r="C33" s="61"/>
      <c r="D33" s="60"/>
      <c r="E33" s="60"/>
      <c r="F33" s="60"/>
      <c r="G33" s="86"/>
      <c r="H33" s="87"/>
      <c r="I33" s="88"/>
      <c r="J33" s="53"/>
    </row>
    <row r="34" spans="2:10" x14ac:dyDescent="0.3">
      <c r="B34" s="54"/>
      <c r="C34" s="61"/>
      <c r="D34" s="60"/>
      <c r="E34" s="60"/>
      <c r="F34" s="60"/>
      <c r="G34" s="86"/>
      <c r="H34" s="87"/>
      <c r="I34" s="88"/>
      <c r="J34" s="53"/>
    </row>
    <row r="35" spans="2:10" x14ac:dyDescent="0.3">
      <c r="B35" s="54"/>
      <c r="C35" s="61"/>
      <c r="D35" s="60"/>
      <c r="E35" s="60"/>
      <c r="F35" s="60"/>
      <c r="G35" s="86"/>
      <c r="H35" s="87"/>
      <c r="I35" s="88"/>
      <c r="J35" s="53"/>
    </row>
    <row r="36" spans="2:10" x14ac:dyDescent="0.3">
      <c r="B36" s="54"/>
      <c r="C36" s="61"/>
      <c r="D36" s="60"/>
      <c r="E36" s="60"/>
      <c r="F36" s="60"/>
      <c r="G36" s="86"/>
      <c r="H36" s="87"/>
      <c r="I36" s="88"/>
      <c r="J36" s="53"/>
    </row>
    <row r="37" spans="2:10" x14ac:dyDescent="0.3">
      <c r="B37" s="54"/>
      <c r="C37" s="61"/>
      <c r="D37" s="60"/>
      <c r="E37" s="60"/>
      <c r="F37" s="60"/>
      <c r="G37" s="86"/>
      <c r="H37" s="87"/>
      <c r="I37" s="88"/>
      <c r="J37" s="53"/>
    </row>
    <row r="38" spans="2:10" x14ac:dyDescent="0.3">
      <c r="B38" s="54"/>
      <c r="C38" s="61"/>
      <c r="D38" s="60"/>
      <c r="E38" s="60"/>
      <c r="F38" s="60"/>
      <c r="G38" s="86"/>
      <c r="H38" s="87"/>
      <c r="I38" s="88"/>
      <c r="J38" s="53"/>
    </row>
    <row r="39" spans="2:10" x14ac:dyDescent="0.3">
      <c r="B39" s="54"/>
      <c r="C39" s="61"/>
      <c r="D39" s="60"/>
      <c r="E39" s="60"/>
      <c r="F39" s="60"/>
      <c r="G39" s="86"/>
      <c r="H39" s="87"/>
      <c r="I39" s="88"/>
      <c r="J39" s="53"/>
    </row>
    <row r="40" spans="2:10" x14ac:dyDescent="0.3">
      <c r="B40" s="54"/>
      <c r="C40" s="61"/>
      <c r="D40" s="60"/>
      <c r="E40" s="60"/>
      <c r="F40" s="60"/>
      <c r="G40" s="86"/>
      <c r="H40" s="87"/>
      <c r="I40" s="88"/>
      <c r="J40" s="53"/>
    </row>
    <row r="41" spans="2:10" ht="12.75" thickBot="1" x14ac:dyDescent="0.35">
      <c r="B41" s="54"/>
      <c r="C41" s="62"/>
      <c r="D41" s="63"/>
      <c r="E41" s="63"/>
      <c r="F41" s="63"/>
      <c r="G41" s="97"/>
      <c r="H41" s="98"/>
      <c r="I41" s="99"/>
      <c r="J41" s="53"/>
    </row>
    <row r="42" spans="2:10" ht="12.75" thickBot="1" x14ac:dyDescent="0.35">
      <c r="B42" s="64"/>
      <c r="C42" s="65"/>
      <c r="D42" s="65"/>
      <c r="E42" s="65"/>
      <c r="F42" s="65"/>
      <c r="G42" s="65"/>
      <c r="H42" s="65"/>
      <c r="I42" s="65"/>
      <c r="J42" s="66"/>
    </row>
  </sheetData>
  <mergeCells count="37">
    <mergeCell ref="G41:I41"/>
    <mergeCell ref="G35:I35"/>
    <mergeCell ref="G36:I36"/>
    <mergeCell ref="G37:I37"/>
    <mergeCell ref="G38:I38"/>
    <mergeCell ref="G39:I39"/>
    <mergeCell ref="G40:I40"/>
    <mergeCell ref="G34:I34"/>
    <mergeCell ref="G23:I23"/>
    <mergeCell ref="G24:I24"/>
    <mergeCell ref="G25:I25"/>
    <mergeCell ref="G26:I26"/>
    <mergeCell ref="G27:I27"/>
    <mergeCell ref="G28:I28"/>
    <mergeCell ref="G29:I29"/>
    <mergeCell ref="G30:I30"/>
    <mergeCell ref="G31:I31"/>
    <mergeCell ref="G32:I32"/>
    <mergeCell ref="G33:I33"/>
    <mergeCell ref="G22:I22"/>
    <mergeCell ref="G11:I11"/>
    <mergeCell ref="G12:I12"/>
    <mergeCell ref="G13:I13"/>
    <mergeCell ref="G14:I14"/>
    <mergeCell ref="G15:I15"/>
    <mergeCell ref="G16:I16"/>
    <mergeCell ref="G17:I17"/>
    <mergeCell ref="G18:I18"/>
    <mergeCell ref="G19:I19"/>
    <mergeCell ref="G20:I20"/>
    <mergeCell ref="G21:I21"/>
    <mergeCell ref="G10:I10"/>
    <mergeCell ref="C3:I3"/>
    <mergeCell ref="C5:I5"/>
    <mergeCell ref="G7:I7"/>
    <mergeCell ref="G8:I8"/>
    <mergeCell ref="G9:I9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J70"/>
  <sheetViews>
    <sheetView tabSelected="1" topLeftCell="A55" zoomScale="85" zoomScaleNormal="85" workbookViewId="0">
      <selection activeCell="I83" sqref="I83"/>
    </sheetView>
  </sheetViews>
  <sheetFormatPr defaultRowHeight="16.5" x14ac:dyDescent="0.3"/>
  <cols>
    <col min="2" max="2" width="4.375" style="13" bestFit="1" customWidth="1"/>
    <col min="3" max="3" width="20.125" customWidth="1"/>
    <col min="4" max="4" width="9.25" customWidth="1"/>
    <col min="5" max="5" width="30.125" style="3" customWidth="1"/>
    <col min="6" max="6" width="32.375" style="13" bestFit="1" customWidth="1"/>
    <col min="7" max="7" width="29.25" customWidth="1"/>
    <col min="8" max="8" width="58.75" bestFit="1" customWidth="1"/>
    <col min="9" max="9" width="38.875" bestFit="1" customWidth="1"/>
    <col min="10" max="10" width="8.25" style="78" customWidth="1"/>
    <col min="11" max="11" width="5.875" style="78" customWidth="1"/>
    <col min="12" max="13" width="9" style="78" hidden="1" customWidth="1"/>
    <col min="14" max="14" width="9" style="78" customWidth="1"/>
    <col min="15" max="15" width="9.25" hidden="1" customWidth="1"/>
    <col min="16" max="16" width="8.375" hidden="1" customWidth="1"/>
    <col min="17" max="17" width="5.875" hidden="1" customWidth="1"/>
    <col min="18" max="18" width="12.375" hidden="1" customWidth="1"/>
    <col min="19" max="19" width="7.5" hidden="1" customWidth="1"/>
    <col min="20" max="20" width="11.75" hidden="1" customWidth="1"/>
    <col min="21" max="21" width="7.125" bestFit="1" customWidth="1"/>
    <col min="22" max="22" width="42.625" bestFit="1" customWidth="1"/>
    <col min="23" max="23" width="12.125" style="78" bestFit="1" customWidth="1"/>
    <col min="24" max="24" width="11.625" bestFit="1" customWidth="1"/>
    <col min="27" max="28" width="0" hidden="1" customWidth="1"/>
    <col min="30" max="35" width="0" hidden="1" customWidth="1"/>
  </cols>
  <sheetData>
    <row r="1" spans="2:36" ht="17.25" thickBot="1" x14ac:dyDescent="0.35"/>
    <row r="2" spans="2:36" x14ac:dyDescent="0.3">
      <c r="C2" s="110" t="s">
        <v>0</v>
      </c>
      <c r="D2" s="120" t="s">
        <v>85</v>
      </c>
      <c r="E2" s="120"/>
      <c r="F2" s="120"/>
      <c r="G2" s="132" t="s">
        <v>65</v>
      </c>
      <c r="X2" s="103" t="s">
        <v>41</v>
      </c>
      <c r="Y2" s="104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4"/>
    </row>
    <row r="3" spans="2:36" x14ac:dyDescent="0.3">
      <c r="C3" s="111"/>
      <c r="D3" s="121"/>
      <c r="E3" s="121"/>
      <c r="F3" s="121"/>
      <c r="G3" s="133"/>
      <c r="X3" s="25"/>
      <c r="Y3" s="106" t="s">
        <v>5</v>
      </c>
      <c r="Z3" s="107"/>
      <c r="AA3" s="107"/>
      <c r="AB3" s="107"/>
      <c r="AC3" s="107"/>
      <c r="AD3" s="107" t="s">
        <v>4</v>
      </c>
      <c r="AE3" s="107"/>
      <c r="AF3" s="107"/>
      <c r="AG3" s="107"/>
      <c r="AH3" s="6"/>
      <c r="AI3" s="6"/>
      <c r="AJ3" s="26"/>
    </row>
    <row r="4" spans="2:36" x14ac:dyDescent="0.3">
      <c r="C4" s="21" t="s">
        <v>44</v>
      </c>
      <c r="D4" s="123" t="s">
        <v>84</v>
      </c>
      <c r="E4" s="123"/>
      <c r="F4" s="123"/>
      <c r="G4" s="134"/>
      <c r="X4" s="25"/>
      <c r="Y4" s="107" t="s">
        <v>40</v>
      </c>
      <c r="Z4" s="107"/>
      <c r="AA4" s="6" t="s">
        <v>35</v>
      </c>
      <c r="AB4" s="6" t="s">
        <v>37</v>
      </c>
      <c r="AC4" s="6" t="s">
        <v>31</v>
      </c>
      <c r="AD4" s="107" t="s">
        <v>40</v>
      </c>
      <c r="AE4" s="107" t="s">
        <v>33</v>
      </c>
      <c r="AF4" s="107" t="s">
        <v>34</v>
      </c>
      <c r="AG4" s="107" t="s">
        <v>32</v>
      </c>
      <c r="AH4" s="108" t="s">
        <v>57</v>
      </c>
      <c r="AI4" s="108" t="s">
        <v>58</v>
      </c>
      <c r="AJ4" s="105" t="s">
        <v>46</v>
      </c>
    </row>
    <row r="5" spans="2:36" x14ac:dyDescent="0.3">
      <c r="C5" s="21" t="s">
        <v>61</v>
      </c>
      <c r="D5" s="122">
        <v>45813</v>
      </c>
      <c r="E5" s="123"/>
      <c r="F5" s="123"/>
      <c r="G5" s="135"/>
      <c r="X5" s="25"/>
      <c r="Y5" s="6" t="s">
        <v>28</v>
      </c>
      <c r="Z5" s="6" t="s">
        <v>29</v>
      </c>
      <c r="AA5" s="6" t="s">
        <v>36</v>
      </c>
      <c r="AB5" s="6" t="s">
        <v>38</v>
      </c>
      <c r="AC5" s="6" t="s">
        <v>30</v>
      </c>
      <c r="AD5" s="107"/>
      <c r="AE5" s="107"/>
      <c r="AF5" s="107"/>
      <c r="AG5" s="107"/>
      <c r="AH5" s="109"/>
      <c r="AI5" s="109"/>
      <c r="AJ5" s="105"/>
    </row>
    <row r="6" spans="2:36" x14ac:dyDescent="0.3">
      <c r="C6" s="21" t="s">
        <v>64</v>
      </c>
      <c r="D6" s="122">
        <v>45817</v>
      </c>
      <c r="E6" s="123"/>
      <c r="F6" s="123"/>
      <c r="G6" s="135"/>
      <c r="X6" s="27" t="s">
        <v>45</v>
      </c>
      <c r="Y6" s="1">
        <f t="shared" ref="Y6:AI6" si="0">SUM(Y7:Y10)</f>
        <v>50</v>
      </c>
      <c r="Z6" s="1">
        <f t="shared" si="0"/>
        <v>50</v>
      </c>
      <c r="AA6" s="1">
        <f t="shared" si="0"/>
        <v>0</v>
      </c>
      <c r="AB6" s="1">
        <f t="shared" si="0"/>
        <v>0</v>
      </c>
      <c r="AC6" s="1">
        <f t="shared" si="0"/>
        <v>50</v>
      </c>
      <c r="AD6" s="1">
        <f t="shared" si="0"/>
        <v>0</v>
      </c>
      <c r="AE6" s="1">
        <f t="shared" si="0"/>
        <v>0</v>
      </c>
      <c r="AF6" s="1">
        <f t="shared" si="0"/>
        <v>0</v>
      </c>
      <c r="AG6" s="1">
        <f>SUM(AG7:AG10)</f>
        <v>0</v>
      </c>
      <c r="AH6" s="1">
        <f t="shared" si="0"/>
        <v>0</v>
      </c>
      <c r="AI6" s="1">
        <f t="shared" si="0"/>
        <v>0</v>
      </c>
      <c r="AJ6" s="28">
        <f>SUM(Y6:AI6)</f>
        <v>150</v>
      </c>
    </row>
    <row r="7" spans="2:36" x14ac:dyDescent="0.3">
      <c r="C7" s="21" t="s">
        <v>60</v>
      </c>
      <c r="D7" s="122">
        <v>45818</v>
      </c>
      <c r="E7" s="123"/>
      <c r="F7" s="123"/>
      <c r="G7" s="135"/>
      <c r="X7" s="27" t="s">
        <v>42</v>
      </c>
      <c r="Y7" s="1">
        <f>COUNTIF($J$21:$J$299, $X$7)</f>
        <v>45</v>
      </c>
      <c r="Z7" s="1">
        <f>COUNTIF($K$21:$K$299,$X$7)</f>
        <v>45</v>
      </c>
      <c r="AA7" s="1">
        <f>COUNTIF($L$21:$L$299,$X$7)</f>
        <v>0</v>
      </c>
      <c r="AB7" s="1">
        <f>COUNTIF($M$21:$M$299,$X$7)</f>
        <v>0</v>
      </c>
      <c r="AC7" s="1">
        <f>COUNTIF($N$21:$N$299,$X$7)</f>
        <v>45</v>
      </c>
      <c r="AD7" s="1">
        <f>COUNTIF($O$21:$O$299,$X$7)</f>
        <v>0</v>
      </c>
      <c r="AE7" s="1">
        <f>COUNTIF($P$21:$P$299,$X$7)</f>
        <v>0</v>
      </c>
      <c r="AF7" s="1">
        <f>COUNTIF($Q$21:$Q$299,$X$7)</f>
        <v>0</v>
      </c>
      <c r="AG7" s="1">
        <f>COUNTIF($R$21:$R$299,$X$7)</f>
        <v>0</v>
      </c>
      <c r="AH7" s="1">
        <f>COUNTIF($S$21:$S$299,$X$7)</f>
        <v>0</v>
      </c>
      <c r="AI7" s="1">
        <f>COUNTIF($T$21:$T$299,$X$7)</f>
        <v>0</v>
      </c>
      <c r="AJ7" s="28">
        <f>SUM(Y7:AI7)</f>
        <v>135</v>
      </c>
    </row>
    <row r="8" spans="2:36" x14ac:dyDescent="0.3">
      <c r="C8" s="21" t="s">
        <v>62</v>
      </c>
      <c r="D8" s="122">
        <v>45841</v>
      </c>
      <c r="E8" s="123"/>
      <c r="F8" s="123"/>
      <c r="G8" s="134" t="s">
        <v>222</v>
      </c>
      <c r="X8" s="29" t="s">
        <v>11</v>
      </c>
      <c r="Y8" s="4">
        <f>COUNTIF($J$21:$J$299,$X$8)</f>
        <v>5</v>
      </c>
      <c r="Z8" s="4">
        <f>COUNTIF($K$21:$K$299,$X$8)</f>
        <v>5</v>
      </c>
      <c r="AA8" s="4">
        <f>COUNTIF($L$21:$L$299,$X$8)</f>
        <v>0</v>
      </c>
      <c r="AB8" s="4">
        <f>COUNTIF($M$21:$M$299,$X$8)</f>
        <v>0</v>
      </c>
      <c r="AC8" s="4">
        <f>COUNTIF($N$21:$N$299,$X$8)</f>
        <v>5</v>
      </c>
      <c r="AD8" s="4">
        <f>COUNTIF($O$21:$O$299,$X$8)</f>
        <v>0</v>
      </c>
      <c r="AE8" s="4">
        <f>COUNTIF($P$21:$P$289,$X$8)</f>
        <v>0</v>
      </c>
      <c r="AF8" s="4">
        <f>COUNTIF($Q$21:$Q$299,$X$8)</f>
        <v>0</v>
      </c>
      <c r="AG8" s="4">
        <f>COUNTIF($R$21:$R$299,$X$8)</f>
        <v>0</v>
      </c>
      <c r="AH8" s="4">
        <f>COUNTIF($S$21:$S$299,$X$8)</f>
        <v>0</v>
      </c>
      <c r="AI8" s="4">
        <f>COUNTIF($T$21:$T$299,$X$8)</f>
        <v>0</v>
      </c>
      <c r="AJ8" s="30">
        <f>SUM(Y8:AI8)</f>
        <v>15</v>
      </c>
    </row>
    <row r="9" spans="2:36" ht="17.25" thickBot="1" x14ac:dyDescent="0.35">
      <c r="C9" s="22" t="s">
        <v>63</v>
      </c>
      <c r="D9" s="124">
        <v>45842</v>
      </c>
      <c r="E9" s="125"/>
      <c r="F9" s="125"/>
      <c r="G9" s="136"/>
      <c r="X9" s="27" t="s">
        <v>12</v>
      </c>
      <c r="Y9" s="1">
        <f>COUNTIF($J$21:$J$299,$X$9)</f>
        <v>0</v>
      </c>
      <c r="Z9" s="1">
        <f>COUNTIF($K$21:$K$299,$X$9)</f>
        <v>0</v>
      </c>
      <c r="AA9" s="1">
        <f>COUNTIF($L$21:$L$299,$X$9)</f>
        <v>0</v>
      </c>
      <c r="AB9" s="1">
        <f>COUNTIF($M$21:$M$299,$X$9)</f>
        <v>0</v>
      </c>
      <c r="AC9" s="1">
        <f>COUNTIF($N$21:$N$299,$X$9)</f>
        <v>0</v>
      </c>
      <c r="AD9" s="1">
        <f>COUNTIF($O$21:$O$299,$X$9)</f>
        <v>0</v>
      </c>
      <c r="AE9" s="1">
        <f>COUNTIF($P$21:$P$299,$X$9)</f>
        <v>0</v>
      </c>
      <c r="AF9" s="1">
        <f>COUNTIF($Q$21:$Q$299,$X$9)</f>
        <v>0</v>
      </c>
      <c r="AG9" s="1">
        <f>COUNTIF($R$21:$R$299,$X$9)</f>
        <v>0</v>
      </c>
      <c r="AH9" s="1">
        <f>COUNTIF($S$21:$S$299,$X$9)</f>
        <v>0</v>
      </c>
      <c r="AI9" s="1">
        <f>COUNTIF($T$21:$T$299,$X$9)</f>
        <v>0</v>
      </c>
      <c r="AJ9" s="28">
        <f>SUM(Y9:AI9)</f>
        <v>0</v>
      </c>
    </row>
    <row r="10" spans="2:36" ht="17.25" thickBot="1" x14ac:dyDescent="0.35">
      <c r="X10" s="31" t="s">
        <v>13</v>
      </c>
      <c r="Y10" s="32">
        <f>COUNTIF($J$21:$J$299,$X$10)</f>
        <v>0</v>
      </c>
      <c r="Z10" s="32">
        <f>COUNTIF($K$21:$K$299,$X$10)</f>
        <v>0</v>
      </c>
      <c r="AA10" s="32">
        <f>COUNTIF($L$21:$L$299,$X$10)</f>
        <v>0</v>
      </c>
      <c r="AB10" s="32">
        <f>COUNTIF($M$21:$M$299,$X$10)</f>
        <v>0</v>
      </c>
      <c r="AC10" s="32">
        <f>COUNTIF($N$21:$N$299,$X$10)</f>
        <v>0</v>
      </c>
      <c r="AD10" s="32">
        <f>COUNTIF($O$21:$O$299,$X$10)</f>
        <v>0</v>
      </c>
      <c r="AE10" s="32">
        <f>COUNTIF($P$21:$P$299,$X$10)</f>
        <v>0</v>
      </c>
      <c r="AF10" s="32">
        <f>COUNTIF($Q$21:$Q$299,$X$10)</f>
        <v>0</v>
      </c>
      <c r="AG10" s="32">
        <f>COUNTIF($R$21:$R$299,$X$10)</f>
        <v>0</v>
      </c>
      <c r="AH10" s="32">
        <f>COUNTIF($S$21:$S$299,$X$10)</f>
        <v>0</v>
      </c>
      <c r="AI10" s="32">
        <f>COUNTIF($T$21:$T$299,$X$10)</f>
        <v>0</v>
      </c>
      <c r="AJ10" s="33">
        <f>SUM(Y10:AI10)</f>
        <v>0</v>
      </c>
    </row>
    <row r="11" spans="2:36" ht="17.25" thickBot="1" x14ac:dyDescent="0.35">
      <c r="X11" s="35" t="s">
        <v>70</v>
      </c>
      <c r="Y11" s="36">
        <f>(Y7+Y8)/Y6</f>
        <v>1</v>
      </c>
      <c r="Z11" s="36">
        <f t="shared" ref="Z11:AJ11" si="1">(Z7+Z8)/Z6</f>
        <v>1</v>
      </c>
      <c r="AA11" s="36" t="e">
        <f t="shared" si="1"/>
        <v>#DIV/0!</v>
      </c>
      <c r="AB11" s="36" t="e">
        <f t="shared" si="1"/>
        <v>#DIV/0!</v>
      </c>
      <c r="AC11" s="36">
        <f t="shared" si="1"/>
        <v>1</v>
      </c>
      <c r="AD11" s="36" t="e">
        <f t="shared" si="1"/>
        <v>#DIV/0!</v>
      </c>
      <c r="AE11" s="36" t="e">
        <f t="shared" si="1"/>
        <v>#DIV/0!</v>
      </c>
      <c r="AF11" s="36" t="e">
        <f t="shared" si="1"/>
        <v>#DIV/0!</v>
      </c>
      <c r="AG11" s="36" t="e">
        <f t="shared" si="1"/>
        <v>#DIV/0!</v>
      </c>
      <c r="AH11" s="36" t="e">
        <f t="shared" si="1"/>
        <v>#DIV/0!</v>
      </c>
      <c r="AI11" s="36" t="e">
        <f t="shared" si="1"/>
        <v>#DIV/0!</v>
      </c>
      <c r="AJ11" s="36">
        <f t="shared" si="1"/>
        <v>1</v>
      </c>
    </row>
    <row r="13" spans="2:36" x14ac:dyDescent="0.3">
      <c r="X13" s="18" t="s">
        <v>67</v>
      </c>
      <c r="Y13">
        <f>COUNTIF($U$21:$U$299,$X$13)</f>
        <v>0</v>
      </c>
      <c r="AB13" t="s">
        <v>74</v>
      </c>
    </row>
    <row r="14" spans="2:36" x14ac:dyDescent="0.3">
      <c r="X14" s="16" t="s">
        <v>68</v>
      </c>
      <c r="Y14">
        <f>COUNTIF($U$21:$U$299,$X$14)</f>
        <v>5</v>
      </c>
      <c r="AB14" t="s">
        <v>73</v>
      </c>
    </row>
    <row r="15" spans="2:36" x14ac:dyDescent="0.3">
      <c r="X15" s="17" t="s">
        <v>69</v>
      </c>
      <c r="Y15">
        <f>COUNTIF($U$21:$U$299,$X$15)</f>
        <v>0</v>
      </c>
      <c r="AB15" t="s">
        <v>71</v>
      </c>
    </row>
    <row r="16" spans="2:36" x14ac:dyDescent="0.3">
      <c r="B16" s="2"/>
      <c r="C16" s="2"/>
      <c r="D16" s="2"/>
      <c r="E16" s="72"/>
      <c r="X16" s="34" t="s">
        <v>66</v>
      </c>
      <c r="Y16">
        <f>COUNTIF($U$21:$U$299,$X$16)</f>
        <v>0</v>
      </c>
      <c r="AB16" t="s">
        <v>72</v>
      </c>
    </row>
    <row r="17" spans="2:23" x14ac:dyDescent="0.3">
      <c r="B17" s="12"/>
      <c r="C17" s="112"/>
      <c r="D17" s="113"/>
      <c r="E17" s="113"/>
      <c r="F17" s="106"/>
      <c r="G17" s="5"/>
      <c r="H17" s="5"/>
      <c r="I17" s="5"/>
      <c r="J17" s="107" t="s">
        <v>6</v>
      </c>
      <c r="K17" s="107"/>
      <c r="L17" s="107"/>
      <c r="M17" s="107"/>
      <c r="N17" s="107"/>
      <c r="O17" s="107"/>
      <c r="P17" s="107"/>
      <c r="Q17" s="107"/>
      <c r="R17" s="107"/>
      <c r="S17" s="6"/>
      <c r="T17" s="6"/>
      <c r="U17" s="5"/>
      <c r="V17" s="5"/>
      <c r="W17" s="77"/>
    </row>
    <row r="18" spans="2:23" x14ac:dyDescent="0.3">
      <c r="B18" s="12"/>
      <c r="C18" s="7"/>
      <c r="D18" s="8"/>
      <c r="E18" s="73"/>
      <c r="F18" s="75"/>
      <c r="G18" s="9"/>
      <c r="H18" s="9"/>
      <c r="I18" s="9"/>
      <c r="J18" s="107" t="s">
        <v>5</v>
      </c>
      <c r="K18" s="107"/>
      <c r="L18" s="107"/>
      <c r="M18" s="107"/>
      <c r="N18" s="107"/>
      <c r="O18" s="114" t="s">
        <v>4</v>
      </c>
      <c r="P18" s="115"/>
      <c r="Q18" s="115"/>
      <c r="R18" s="116"/>
      <c r="S18" s="19"/>
      <c r="T18" s="19"/>
      <c r="U18" s="108"/>
      <c r="V18" s="108"/>
      <c r="W18" s="108"/>
    </row>
    <row r="19" spans="2:23" x14ac:dyDescent="0.3">
      <c r="B19" s="12"/>
      <c r="C19" s="112" t="s">
        <v>7</v>
      </c>
      <c r="D19" s="113"/>
      <c r="E19" s="113"/>
      <c r="F19" s="106"/>
      <c r="G19" s="11"/>
      <c r="H19" s="11"/>
      <c r="I19" s="10"/>
      <c r="J19" s="112" t="s">
        <v>40</v>
      </c>
      <c r="K19" s="106"/>
      <c r="L19" s="77" t="s">
        <v>35</v>
      </c>
      <c r="M19" s="77" t="s">
        <v>37</v>
      </c>
      <c r="N19" s="77" t="s">
        <v>31</v>
      </c>
      <c r="O19" s="117"/>
      <c r="P19" s="118"/>
      <c r="Q19" s="118"/>
      <c r="R19" s="119"/>
      <c r="S19" s="20"/>
      <c r="T19" s="20"/>
      <c r="U19" s="126"/>
      <c r="V19" s="109"/>
      <c r="W19" s="109"/>
    </row>
    <row r="20" spans="2:23" x14ac:dyDescent="0.3">
      <c r="B20" s="12" t="s">
        <v>3</v>
      </c>
      <c r="C20" s="6" t="s">
        <v>49</v>
      </c>
      <c r="D20" s="6" t="s">
        <v>48</v>
      </c>
      <c r="E20" s="74" t="s">
        <v>1</v>
      </c>
      <c r="F20" s="76" t="s">
        <v>2</v>
      </c>
      <c r="G20" s="6" t="s">
        <v>47</v>
      </c>
      <c r="H20" s="6" t="s">
        <v>8</v>
      </c>
      <c r="I20" s="6" t="s">
        <v>59</v>
      </c>
      <c r="J20" s="77" t="s">
        <v>28</v>
      </c>
      <c r="K20" s="77" t="s">
        <v>29</v>
      </c>
      <c r="L20" s="77" t="s">
        <v>36</v>
      </c>
      <c r="M20" s="77" t="s">
        <v>38</v>
      </c>
      <c r="N20" s="77" t="s">
        <v>30</v>
      </c>
      <c r="O20" s="6" t="s">
        <v>40</v>
      </c>
      <c r="P20" s="6" t="s">
        <v>33</v>
      </c>
      <c r="Q20" s="6" t="s">
        <v>34</v>
      </c>
      <c r="R20" s="6" t="s">
        <v>32</v>
      </c>
      <c r="S20" s="6" t="s">
        <v>56</v>
      </c>
      <c r="T20" s="15" t="s">
        <v>58</v>
      </c>
      <c r="U20" s="12" t="s">
        <v>18</v>
      </c>
      <c r="V20" s="14" t="s">
        <v>39</v>
      </c>
      <c r="W20" s="77" t="s">
        <v>43</v>
      </c>
    </row>
    <row r="21" spans="2:23" x14ac:dyDescent="0.3">
      <c r="B21" s="13">
        <v>1</v>
      </c>
      <c r="C21" s="128" t="s">
        <v>168</v>
      </c>
      <c r="D21" s="101" t="s">
        <v>86</v>
      </c>
      <c r="E21" s="130" t="s">
        <v>169</v>
      </c>
      <c r="F21" s="13" t="s">
        <v>170</v>
      </c>
      <c r="G21" s="101" t="s">
        <v>88</v>
      </c>
      <c r="H21" s="67" t="s">
        <v>92</v>
      </c>
      <c r="I21" s="3" t="s">
        <v>89</v>
      </c>
      <c r="J21" s="78" t="s">
        <v>90</v>
      </c>
      <c r="K21" s="78" t="s">
        <v>90</v>
      </c>
      <c r="N21" s="78" t="s">
        <v>90</v>
      </c>
    </row>
    <row r="22" spans="2:23" ht="33" x14ac:dyDescent="0.3">
      <c r="B22" s="13">
        <v>2</v>
      </c>
      <c r="C22" s="129"/>
      <c r="D22" s="102"/>
      <c r="E22" s="131"/>
      <c r="F22" s="13" t="s">
        <v>171</v>
      </c>
      <c r="G22" s="102"/>
      <c r="H22" s="68" t="s">
        <v>91</v>
      </c>
      <c r="I22" s="3" t="s">
        <v>93</v>
      </c>
      <c r="J22" s="78" t="s">
        <v>90</v>
      </c>
      <c r="K22" s="78" t="s">
        <v>90</v>
      </c>
      <c r="N22" s="78" t="s">
        <v>90</v>
      </c>
    </row>
    <row r="23" spans="2:23" ht="33" x14ac:dyDescent="0.3">
      <c r="B23" s="13">
        <v>3</v>
      </c>
      <c r="C23" s="129"/>
      <c r="D23" s="102"/>
      <c r="E23" s="131"/>
      <c r="F23" s="100" t="s">
        <v>172</v>
      </c>
      <c r="G23" s="102"/>
      <c r="H23" s="68" t="s">
        <v>94</v>
      </c>
      <c r="I23" s="3" t="s">
        <v>95</v>
      </c>
      <c r="J23" s="78" t="s">
        <v>90</v>
      </c>
      <c r="K23" s="78" t="s">
        <v>90</v>
      </c>
      <c r="N23" s="78" t="s">
        <v>90</v>
      </c>
    </row>
    <row r="24" spans="2:23" ht="33" x14ac:dyDescent="0.3">
      <c r="B24" s="13">
        <v>4</v>
      </c>
      <c r="C24" s="129"/>
      <c r="D24" s="102"/>
      <c r="E24" s="131"/>
      <c r="F24" s="100"/>
      <c r="G24" s="102"/>
      <c r="H24" s="69" t="s">
        <v>96</v>
      </c>
      <c r="I24" s="3" t="s">
        <v>97</v>
      </c>
      <c r="J24" s="78" t="s">
        <v>90</v>
      </c>
      <c r="K24" s="78" t="s">
        <v>90</v>
      </c>
      <c r="N24" s="78" t="s">
        <v>90</v>
      </c>
    </row>
    <row r="25" spans="2:23" ht="49.5" customHeight="1" x14ac:dyDescent="0.3">
      <c r="B25" s="13">
        <v>5</v>
      </c>
      <c r="C25" s="129"/>
      <c r="D25" s="102"/>
      <c r="E25" s="131"/>
      <c r="F25" s="100"/>
      <c r="G25" s="102"/>
      <c r="H25" s="69" t="s">
        <v>98</v>
      </c>
      <c r="I25" s="3" t="s">
        <v>99</v>
      </c>
      <c r="J25" s="78" t="s">
        <v>90</v>
      </c>
      <c r="K25" s="78" t="s">
        <v>90</v>
      </c>
      <c r="N25" s="78" t="s">
        <v>90</v>
      </c>
    </row>
    <row r="26" spans="2:23" ht="49.5" x14ac:dyDescent="0.3">
      <c r="B26" s="13">
        <v>6</v>
      </c>
      <c r="C26" s="129"/>
      <c r="D26" s="102"/>
      <c r="E26" s="131"/>
      <c r="F26" s="13" t="s">
        <v>174</v>
      </c>
      <c r="G26" s="102"/>
      <c r="H26" s="69" t="s">
        <v>173</v>
      </c>
      <c r="I26" s="71" t="s">
        <v>100</v>
      </c>
      <c r="J26" s="78" t="s">
        <v>90</v>
      </c>
      <c r="K26" s="78" t="s">
        <v>90</v>
      </c>
      <c r="N26" s="78" t="s">
        <v>90</v>
      </c>
    </row>
    <row r="27" spans="2:23" ht="49.5" customHeight="1" x14ac:dyDescent="0.3">
      <c r="B27" s="13">
        <v>7</v>
      </c>
      <c r="C27" s="129"/>
      <c r="D27" s="102"/>
      <c r="E27" s="131"/>
      <c r="F27" s="13" t="s">
        <v>203</v>
      </c>
      <c r="G27" s="102"/>
      <c r="H27" s="69" t="s">
        <v>102</v>
      </c>
      <c r="I27" s="71" t="s">
        <v>101</v>
      </c>
      <c r="J27" s="78" t="s">
        <v>90</v>
      </c>
      <c r="K27" s="78" t="s">
        <v>90</v>
      </c>
      <c r="N27" s="78" t="s">
        <v>90</v>
      </c>
    </row>
    <row r="28" spans="2:23" ht="49.5" customHeight="1" x14ac:dyDescent="0.3">
      <c r="B28" s="13">
        <v>8</v>
      </c>
      <c r="C28" s="129"/>
      <c r="D28" s="102"/>
      <c r="E28" s="131"/>
      <c r="F28" s="13" t="s">
        <v>175</v>
      </c>
      <c r="G28" s="102"/>
      <c r="H28" s="69" t="s">
        <v>103</v>
      </c>
      <c r="I28" s="71" t="s">
        <v>104</v>
      </c>
      <c r="J28" s="78" t="s">
        <v>90</v>
      </c>
      <c r="K28" s="78" t="s">
        <v>90</v>
      </c>
      <c r="N28" s="78" t="s">
        <v>90</v>
      </c>
    </row>
    <row r="29" spans="2:23" ht="33" x14ac:dyDescent="0.3">
      <c r="B29" s="13">
        <v>9</v>
      </c>
      <c r="C29" s="129"/>
      <c r="D29" s="102"/>
      <c r="E29" s="131"/>
      <c r="F29" s="13" t="s">
        <v>201</v>
      </c>
      <c r="G29" s="102"/>
      <c r="H29" s="69" t="s">
        <v>105</v>
      </c>
      <c r="I29" s="71" t="s">
        <v>106</v>
      </c>
      <c r="J29" s="78" t="s">
        <v>90</v>
      </c>
      <c r="K29" s="78" t="s">
        <v>90</v>
      </c>
      <c r="N29" s="78" t="s">
        <v>90</v>
      </c>
    </row>
    <row r="30" spans="2:23" ht="49.5" customHeight="1" x14ac:dyDescent="0.3">
      <c r="B30" s="13">
        <v>10</v>
      </c>
      <c r="C30" s="129"/>
      <c r="D30" s="102"/>
      <c r="E30" s="131"/>
      <c r="F30" s="100" t="s">
        <v>202</v>
      </c>
      <c r="G30" s="102"/>
      <c r="H30" s="69" t="s">
        <v>108</v>
      </c>
      <c r="I30" s="71" t="s">
        <v>109</v>
      </c>
      <c r="J30" s="78" t="s">
        <v>90</v>
      </c>
      <c r="K30" s="78" t="s">
        <v>90</v>
      </c>
      <c r="N30" s="78" t="s">
        <v>90</v>
      </c>
    </row>
    <row r="31" spans="2:23" ht="49.5" customHeight="1" x14ac:dyDescent="0.3">
      <c r="B31" s="13">
        <v>11</v>
      </c>
      <c r="C31" s="129"/>
      <c r="D31" s="102"/>
      <c r="E31" s="131"/>
      <c r="F31" s="100"/>
      <c r="G31" s="102"/>
      <c r="H31" s="69" t="s">
        <v>107</v>
      </c>
      <c r="I31" s="71" t="s">
        <v>110</v>
      </c>
      <c r="J31" s="78" t="s">
        <v>90</v>
      </c>
      <c r="K31" s="78" t="s">
        <v>90</v>
      </c>
      <c r="N31" s="78" t="s">
        <v>90</v>
      </c>
    </row>
    <row r="32" spans="2:23" ht="33" customHeight="1" x14ac:dyDescent="0.3">
      <c r="B32" s="13">
        <v>12</v>
      </c>
      <c r="C32" s="129"/>
      <c r="D32" s="102"/>
      <c r="E32" s="131"/>
      <c r="F32" s="13" t="s">
        <v>176</v>
      </c>
      <c r="G32" s="102"/>
      <c r="H32" s="69" t="s">
        <v>111</v>
      </c>
      <c r="I32" s="71" t="s">
        <v>112</v>
      </c>
      <c r="J32" s="78" t="s">
        <v>90</v>
      </c>
      <c r="K32" s="78" t="s">
        <v>90</v>
      </c>
      <c r="N32" s="78" t="s">
        <v>90</v>
      </c>
    </row>
    <row r="33" spans="2:23" ht="33" customHeight="1" x14ac:dyDescent="0.3">
      <c r="B33" s="13">
        <v>13</v>
      </c>
      <c r="C33" s="129"/>
      <c r="D33" s="102"/>
      <c r="E33" s="131"/>
      <c r="F33" s="13" t="s">
        <v>177</v>
      </c>
      <c r="G33" s="102"/>
      <c r="H33" s="69" t="s">
        <v>113</v>
      </c>
      <c r="I33" s="71" t="s">
        <v>114</v>
      </c>
      <c r="J33" s="78" t="s">
        <v>90</v>
      </c>
      <c r="K33" s="78" t="s">
        <v>90</v>
      </c>
      <c r="N33" s="78" t="s">
        <v>90</v>
      </c>
    </row>
    <row r="34" spans="2:23" ht="33" customHeight="1" x14ac:dyDescent="0.3">
      <c r="B34" s="13">
        <v>14</v>
      </c>
      <c r="C34" s="129"/>
      <c r="D34" s="102"/>
      <c r="E34" s="131"/>
      <c r="F34" s="13" t="s">
        <v>178</v>
      </c>
      <c r="G34" s="102"/>
      <c r="H34" s="69" t="s">
        <v>115</v>
      </c>
      <c r="I34" s="71" t="s">
        <v>116</v>
      </c>
      <c r="J34" s="78" t="s">
        <v>90</v>
      </c>
      <c r="K34" s="78" t="s">
        <v>90</v>
      </c>
      <c r="N34" s="78" t="s">
        <v>90</v>
      </c>
    </row>
    <row r="35" spans="2:23" x14ac:dyDescent="0.3">
      <c r="B35" s="13">
        <v>15</v>
      </c>
      <c r="C35" s="129"/>
      <c r="D35" s="102"/>
      <c r="E35" s="131"/>
      <c r="F35" s="100" t="s">
        <v>179</v>
      </c>
      <c r="G35" s="102"/>
      <c r="H35" s="69" t="s">
        <v>117</v>
      </c>
      <c r="I35" s="71" t="s">
        <v>118</v>
      </c>
      <c r="J35" s="78" t="s">
        <v>119</v>
      </c>
      <c r="K35" s="78" t="s">
        <v>119</v>
      </c>
      <c r="N35" s="78" t="s">
        <v>42</v>
      </c>
    </row>
    <row r="36" spans="2:23" x14ac:dyDescent="0.3">
      <c r="B36" s="13">
        <v>16</v>
      </c>
      <c r="C36" s="129"/>
      <c r="D36" s="102"/>
      <c r="E36" s="131"/>
      <c r="F36" s="100"/>
      <c r="G36" s="102"/>
      <c r="H36" s="69" t="s">
        <v>120</v>
      </c>
      <c r="I36" s="71" t="s">
        <v>126</v>
      </c>
      <c r="J36" s="78" t="s">
        <v>90</v>
      </c>
      <c r="K36" s="78" t="s">
        <v>90</v>
      </c>
      <c r="N36" s="78" t="s">
        <v>90</v>
      </c>
    </row>
    <row r="37" spans="2:23" ht="33" x14ac:dyDescent="0.3">
      <c r="B37" s="13">
        <v>17</v>
      </c>
      <c r="C37" s="129"/>
      <c r="D37" s="102"/>
      <c r="E37" s="131"/>
      <c r="F37" s="100"/>
      <c r="G37" s="102"/>
      <c r="H37" s="69" t="s">
        <v>121</v>
      </c>
      <c r="I37" s="71" t="s">
        <v>122</v>
      </c>
      <c r="J37" s="78" t="s">
        <v>90</v>
      </c>
      <c r="K37" s="78" t="s">
        <v>90</v>
      </c>
      <c r="N37" s="78" t="s">
        <v>90</v>
      </c>
    </row>
    <row r="38" spans="2:23" ht="33" x14ac:dyDescent="0.3">
      <c r="B38" s="13">
        <v>18</v>
      </c>
      <c r="C38" s="129"/>
      <c r="D38" s="102"/>
      <c r="E38" s="131"/>
      <c r="F38" s="100"/>
      <c r="G38" s="102"/>
      <c r="H38" s="69" t="s">
        <v>123</v>
      </c>
      <c r="I38" s="71" t="s">
        <v>124</v>
      </c>
      <c r="J38" s="78" t="s">
        <v>90</v>
      </c>
      <c r="K38" s="78" t="s">
        <v>90</v>
      </c>
      <c r="N38" s="78" t="s">
        <v>90</v>
      </c>
    </row>
    <row r="39" spans="2:23" x14ac:dyDescent="0.3">
      <c r="B39" s="13">
        <v>19</v>
      </c>
      <c r="C39" s="129"/>
      <c r="D39" s="102"/>
      <c r="E39" s="131"/>
      <c r="F39" s="100"/>
      <c r="G39" s="102"/>
      <c r="H39" s="69" t="s">
        <v>125</v>
      </c>
      <c r="I39" s="71" t="s">
        <v>127</v>
      </c>
      <c r="J39" s="78" t="s">
        <v>128</v>
      </c>
      <c r="K39" s="78" t="s">
        <v>128</v>
      </c>
      <c r="N39" s="78" t="s">
        <v>128</v>
      </c>
      <c r="U39" t="s">
        <v>185</v>
      </c>
      <c r="V39" s="127" t="s">
        <v>133</v>
      </c>
      <c r="W39" s="100">
        <v>102838</v>
      </c>
    </row>
    <row r="40" spans="2:23" ht="33" x14ac:dyDescent="0.3">
      <c r="B40" s="13">
        <v>20</v>
      </c>
      <c r="C40" s="129"/>
      <c r="D40" s="102"/>
      <c r="E40" s="131"/>
      <c r="F40" s="100"/>
      <c r="G40" s="102"/>
      <c r="H40" s="69" t="s">
        <v>129</v>
      </c>
      <c r="I40" s="71" t="s">
        <v>130</v>
      </c>
      <c r="J40" s="78" t="s">
        <v>128</v>
      </c>
      <c r="K40" s="78" t="s">
        <v>128</v>
      </c>
      <c r="N40" s="78" t="s">
        <v>128</v>
      </c>
      <c r="U40" t="s">
        <v>185</v>
      </c>
      <c r="V40" s="127"/>
      <c r="W40" s="100"/>
    </row>
    <row r="41" spans="2:23" ht="33" x14ac:dyDescent="0.3">
      <c r="B41" s="13">
        <v>21</v>
      </c>
      <c r="C41" s="129"/>
      <c r="D41" s="102"/>
      <c r="E41" s="131"/>
      <c r="F41" s="100"/>
      <c r="G41" s="102"/>
      <c r="H41" s="69" t="s">
        <v>131</v>
      </c>
      <c r="I41" s="71" t="s">
        <v>132</v>
      </c>
      <c r="J41" s="78" t="s">
        <v>128</v>
      </c>
      <c r="K41" s="78" t="s">
        <v>128</v>
      </c>
      <c r="N41" s="78" t="s">
        <v>128</v>
      </c>
      <c r="U41" t="s">
        <v>185</v>
      </c>
      <c r="V41" s="127"/>
      <c r="W41" s="100"/>
    </row>
    <row r="42" spans="2:23" x14ac:dyDescent="0.3">
      <c r="B42" s="13">
        <v>22</v>
      </c>
      <c r="C42" s="129"/>
      <c r="D42" s="102"/>
      <c r="E42" s="131"/>
      <c r="F42" s="13" t="s">
        <v>180</v>
      </c>
      <c r="G42" s="102"/>
      <c r="H42" s="70" t="s">
        <v>134</v>
      </c>
      <c r="I42" s="71" t="s">
        <v>137</v>
      </c>
      <c r="J42" s="78" t="s">
        <v>90</v>
      </c>
      <c r="K42" s="78" t="s">
        <v>90</v>
      </c>
      <c r="N42" s="78" t="s">
        <v>90</v>
      </c>
    </row>
    <row r="43" spans="2:23" x14ac:dyDescent="0.3">
      <c r="B43" s="13">
        <v>23</v>
      </c>
      <c r="C43" s="129"/>
      <c r="D43" s="102"/>
      <c r="E43" s="131"/>
      <c r="F43" s="13" t="s">
        <v>181</v>
      </c>
      <c r="G43" s="102"/>
      <c r="H43" s="70" t="s">
        <v>135</v>
      </c>
      <c r="I43" s="71" t="s">
        <v>138</v>
      </c>
      <c r="J43" s="78" t="s">
        <v>90</v>
      </c>
      <c r="K43" s="78" t="s">
        <v>90</v>
      </c>
      <c r="N43" s="78" t="s">
        <v>90</v>
      </c>
    </row>
    <row r="44" spans="2:23" x14ac:dyDescent="0.3">
      <c r="B44" s="13">
        <v>24</v>
      </c>
      <c r="C44" s="129"/>
      <c r="D44" s="102"/>
      <c r="E44" s="131"/>
      <c r="F44" s="100" t="s">
        <v>182</v>
      </c>
      <c r="G44" s="102"/>
      <c r="H44" s="70" t="s">
        <v>136</v>
      </c>
      <c r="I44" s="71" t="s">
        <v>139</v>
      </c>
      <c r="J44" s="78" t="s">
        <v>90</v>
      </c>
      <c r="K44" s="78" t="s">
        <v>90</v>
      </c>
      <c r="N44" s="78" t="s">
        <v>90</v>
      </c>
    </row>
    <row r="45" spans="2:23" ht="33" x14ac:dyDescent="0.3">
      <c r="B45" s="13">
        <v>25</v>
      </c>
      <c r="C45" s="129"/>
      <c r="D45" s="102"/>
      <c r="E45" s="131"/>
      <c r="F45" s="100"/>
      <c r="G45" s="102"/>
      <c r="H45" s="3" t="s">
        <v>140</v>
      </c>
      <c r="I45" s="71" t="s">
        <v>141</v>
      </c>
      <c r="J45" s="78" t="s">
        <v>90</v>
      </c>
      <c r="K45" s="78" t="s">
        <v>90</v>
      </c>
      <c r="N45" s="78" t="s">
        <v>90</v>
      </c>
    </row>
    <row r="46" spans="2:23" ht="49.5" x14ac:dyDescent="0.3">
      <c r="B46" s="13">
        <v>26</v>
      </c>
      <c r="C46" s="129"/>
      <c r="D46" s="102"/>
      <c r="E46" s="131"/>
      <c r="F46" s="100"/>
      <c r="G46" s="102"/>
      <c r="H46" s="3" t="s">
        <v>143</v>
      </c>
      <c r="I46" s="71" t="s">
        <v>142</v>
      </c>
      <c r="J46" s="78" t="s">
        <v>90</v>
      </c>
      <c r="K46" s="78" t="s">
        <v>90</v>
      </c>
      <c r="N46" s="78" t="s">
        <v>90</v>
      </c>
    </row>
    <row r="47" spans="2:23" ht="49.5" x14ac:dyDescent="0.3">
      <c r="B47" s="13">
        <v>27</v>
      </c>
      <c r="C47" s="129"/>
      <c r="D47" s="102"/>
      <c r="E47" s="131"/>
      <c r="F47" s="100"/>
      <c r="G47" s="102"/>
      <c r="H47" s="3" t="s">
        <v>144</v>
      </c>
      <c r="I47" s="71" t="s">
        <v>145</v>
      </c>
      <c r="J47" s="78" t="s">
        <v>90</v>
      </c>
      <c r="K47" s="78" t="s">
        <v>90</v>
      </c>
      <c r="N47" s="78" t="s">
        <v>90</v>
      </c>
    </row>
    <row r="48" spans="2:23" x14ac:dyDescent="0.3">
      <c r="B48" s="13">
        <v>28</v>
      </c>
      <c r="C48" s="129"/>
      <c r="D48" s="102"/>
      <c r="E48" s="131"/>
      <c r="F48" s="100"/>
      <c r="G48" s="102"/>
      <c r="H48" s="3" t="s">
        <v>146</v>
      </c>
      <c r="I48" s="71" t="s">
        <v>147</v>
      </c>
      <c r="J48" s="78" t="s">
        <v>148</v>
      </c>
      <c r="K48" s="78" t="s">
        <v>148</v>
      </c>
      <c r="N48" s="78" t="s">
        <v>42</v>
      </c>
    </row>
    <row r="49" spans="2:23" x14ac:dyDescent="0.3">
      <c r="B49" s="13">
        <v>29</v>
      </c>
      <c r="C49" s="129"/>
      <c r="D49" s="102"/>
      <c r="E49" s="131"/>
      <c r="F49" s="100"/>
      <c r="G49" s="102"/>
      <c r="H49" s="3" t="s">
        <v>149</v>
      </c>
      <c r="I49" s="71" t="s">
        <v>150</v>
      </c>
      <c r="J49" s="78" t="s">
        <v>151</v>
      </c>
      <c r="K49" s="78" t="s">
        <v>151</v>
      </c>
      <c r="N49" s="78" t="s">
        <v>151</v>
      </c>
    </row>
    <row r="50" spans="2:23" ht="33" x14ac:dyDescent="0.3">
      <c r="B50" s="13">
        <v>29</v>
      </c>
      <c r="C50" s="129"/>
      <c r="D50" s="102"/>
      <c r="E50" s="131"/>
      <c r="F50" s="100"/>
      <c r="G50" s="102"/>
      <c r="H50" s="3" t="s">
        <v>188</v>
      </c>
      <c r="I50" s="71" t="s">
        <v>186</v>
      </c>
      <c r="J50" s="78" t="s">
        <v>128</v>
      </c>
      <c r="K50" s="78" t="s">
        <v>128</v>
      </c>
      <c r="N50" s="78" t="s">
        <v>128</v>
      </c>
      <c r="U50" t="s">
        <v>185</v>
      </c>
      <c r="W50" s="100">
        <v>102839</v>
      </c>
    </row>
    <row r="51" spans="2:23" ht="33" x14ac:dyDescent="0.3">
      <c r="B51" s="13">
        <v>29</v>
      </c>
      <c r="C51" s="129"/>
      <c r="D51" s="102"/>
      <c r="E51" s="131"/>
      <c r="F51" s="100"/>
      <c r="G51" s="102"/>
      <c r="H51" s="3" t="s">
        <v>189</v>
      </c>
      <c r="I51" s="71" t="s">
        <v>187</v>
      </c>
      <c r="J51" s="78" t="s">
        <v>128</v>
      </c>
      <c r="K51" s="78" t="s">
        <v>128</v>
      </c>
      <c r="N51" s="78" t="s">
        <v>128</v>
      </c>
      <c r="U51" t="s">
        <v>185</v>
      </c>
      <c r="W51" s="100"/>
    </row>
    <row r="52" spans="2:23" ht="33" x14ac:dyDescent="0.3">
      <c r="B52" s="13">
        <v>29</v>
      </c>
      <c r="C52" s="129"/>
      <c r="D52" s="102"/>
      <c r="E52" s="131"/>
      <c r="F52" s="100"/>
      <c r="G52" s="102"/>
      <c r="H52" s="3" t="s">
        <v>191</v>
      </c>
      <c r="I52" s="71" t="s">
        <v>186</v>
      </c>
      <c r="J52" s="78" t="s">
        <v>90</v>
      </c>
      <c r="K52" s="78" t="s">
        <v>90</v>
      </c>
      <c r="N52" s="78" t="s">
        <v>90</v>
      </c>
    </row>
    <row r="53" spans="2:23" x14ac:dyDescent="0.3">
      <c r="B53" s="13">
        <v>29</v>
      </c>
      <c r="C53" s="129"/>
      <c r="D53" s="102"/>
      <c r="E53" s="131"/>
      <c r="F53" s="100"/>
      <c r="G53" s="102"/>
      <c r="H53" s="3" t="s">
        <v>190</v>
      </c>
      <c r="I53" s="71" t="s">
        <v>192</v>
      </c>
      <c r="J53" s="78" t="s">
        <v>90</v>
      </c>
      <c r="K53" s="78" t="s">
        <v>90</v>
      </c>
      <c r="N53" s="78" t="s">
        <v>90</v>
      </c>
    </row>
    <row r="54" spans="2:23" x14ac:dyDescent="0.3">
      <c r="B54" s="13">
        <v>29</v>
      </c>
      <c r="C54" s="129"/>
      <c r="D54" s="102"/>
      <c r="E54" s="131"/>
      <c r="F54" s="100"/>
      <c r="G54" s="102"/>
      <c r="H54" s="3" t="s">
        <v>193</v>
      </c>
      <c r="I54" s="71" t="s">
        <v>194</v>
      </c>
      <c r="J54" s="78" t="s">
        <v>90</v>
      </c>
      <c r="K54" s="78" t="s">
        <v>90</v>
      </c>
      <c r="N54" s="78" t="s">
        <v>90</v>
      </c>
    </row>
    <row r="55" spans="2:23" ht="33" x14ac:dyDescent="0.3">
      <c r="B55" s="13">
        <v>29</v>
      </c>
      <c r="C55" s="129"/>
      <c r="D55" s="102"/>
      <c r="E55" s="131"/>
      <c r="F55" s="100"/>
      <c r="G55" s="102"/>
      <c r="H55" s="3" t="s">
        <v>195</v>
      </c>
      <c r="I55" s="71" t="s">
        <v>196</v>
      </c>
      <c r="J55" s="78" t="s">
        <v>90</v>
      </c>
      <c r="K55" s="78" t="s">
        <v>90</v>
      </c>
      <c r="N55" s="78" t="s">
        <v>90</v>
      </c>
    </row>
    <row r="56" spans="2:23" x14ac:dyDescent="0.3">
      <c r="B56" s="13">
        <v>29</v>
      </c>
      <c r="C56" s="129"/>
      <c r="D56" s="102"/>
      <c r="E56" s="131"/>
      <c r="F56" s="100"/>
      <c r="G56" s="102"/>
      <c r="H56" s="3" t="s">
        <v>197</v>
      </c>
      <c r="I56" s="71" t="s">
        <v>199</v>
      </c>
      <c r="J56" s="78" t="s">
        <v>90</v>
      </c>
      <c r="K56" s="78" t="s">
        <v>90</v>
      </c>
      <c r="N56" s="78" t="s">
        <v>90</v>
      </c>
    </row>
    <row r="57" spans="2:23" x14ac:dyDescent="0.3">
      <c r="B57" s="13">
        <v>29</v>
      </c>
      <c r="C57" s="129"/>
      <c r="D57" s="102"/>
      <c r="E57" s="131"/>
      <c r="F57" s="100"/>
      <c r="G57" s="102"/>
      <c r="H57" s="3" t="s">
        <v>198</v>
      </c>
      <c r="I57" s="71" t="s">
        <v>200</v>
      </c>
      <c r="J57" s="78" t="s">
        <v>90</v>
      </c>
      <c r="K57" s="78" t="s">
        <v>90</v>
      </c>
      <c r="N57" s="78" t="s">
        <v>90</v>
      </c>
    </row>
    <row r="58" spans="2:23" ht="33" x14ac:dyDescent="0.3">
      <c r="B58" s="13">
        <v>29</v>
      </c>
      <c r="C58" s="129"/>
      <c r="D58" s="13" t="s">
        <v>152</v>
      </c>
      <c r="E58" s="131"/>
      <c r="F58" s="100" t="s">
        <v>183</v>
      </c>
      <c r="G58" s="102"/>
      <c r="H58" s="3" t="s">
        <v>159</v>
      </c>
      <c r="I58" s="71" t="s">
        <v>154</v>
      </c>
      <c r="J58" s="78" t="s">
        <v>90</v>
      </c>
      <c r="K58" s="78" t="s">
        <v>90</v>
      </c>
      <c r="N58" s="78" t="s">
        <v>90</v>
      </c>
      <c r="V58" t="s">
        <v>153</v>
      </c>
    </row>
    <row r="59" spans="2:23" x14ac:dyDescent="0.3">
      <c r="B59" s="13">
        <v>29</v>
      </c>
      <c r="C59" s="129"/>
      <c r="D59" s="13" t="s">
        <v>152</v>
      </c>
      <c r="E59" s="131"/>
      <c r="F59" s="100"/>
      <c r="G59" s="102"/>
      <c r="H59" s="3" t="s">
        <v>155</v>
      </c>
      <c r="I59" s="71" t="s">
        <v>156</v>
      </c>
      <c r="J59" s="78" t="s">
        <v>90</v>
      </c>
      <c r="K59" s="78" t="s">
        <v>90</v>
      </c>
      <c r="N59" s="78" t="s">
        <v>90</v>
      </c>
    </row>
    <row r="60" spans="2:23" x14ac:dyDescent="0.3">
      <c r="B60" s="13">
        <v>29</v>
      </c>
      <c r="C60" s="129"/>
      <c r="D60" s="13" t="s">
        <v>152</v>
      </c>
      <c r="E60" s="131"/>
      <c r="F60" s="100"/>
      <c r="G60" s="102"/>
      <c r="H60" s="3" t="s">
        <v>157</v>
      </c>
      <c r="I60" s="71" t="s">
        <v>166</v>
      </c>
      <c r="J60" s="78" t="s">
        <v>158</v>
      </c>
      <c r="K60" s="78" t="s">
        <v>158</v>
      </c>
      <c r="N60" s="78" t="s">
        <v>42</v>
      </c>
      <c r="V60" t="s">
        <v>161</v>
      </c>
    </row>
    <row r="61" spans="2:23" ht="33" x14ac:dyDescent="0.3">
      <c r="B61" s="13">
        <v>29</v>
      </c>
      <c r="C61" s="129"/>
      <c r="D61" s="13" t="s">
        <v>152</v>
      </c>
      <c r="E61" s="131"/>
      <c r="F61" s="100"/>
      <c r="G61" s="102"/>
      <c r="H61" s="3" t="s">
        <v>160</v>
      </c>
      <c r="I61" s="71" t="s">
        <v>167</v>
      </c>
      <c r="J61" s="78" t="s">
        <v>90</v>
      </c>
      <c r="K61" s="78" t="s">
        <v>90</v>
      </c>
      <c r="N61" s="78" t="s">
        <v>90</v>
      </c>
    </row>
    <row r="62" spans="2:23" x14ac:dyDescent="0.3">
      <c r="B62" s="13">
        <v>29</v>
      </c>
      <c r="C62" s="129"/>
      <c r="D62" s="13" t="s">
        <v>162</v>
      </c>
      <c r="E62" s="131"/>
      <c r="F62" s="13" t="s">
        <v>184</v>
      </c>
      <c r="G62" s="102"/>
      <c r="H62" s="3" t="s">
        <v>164</v>
      </c>
      <c r="I62" t="s">
        <v>165</v>
      </c>
      <c r="J62" s="78" t="s">
        <v>90</v>
      </c>
      <c r="K62" s="78" t="s">
        <v>90</v>
      </c>
      <c r="N62" s="78" t="s">
        <v>90</v>
      </c>
      <c r="V62" s="79" t="s">
        <v>163</v>
      </c>
    </row>
    <row r="63" spans="2:23" ht="33" x14ac:dyDescent="0.3">
      <c r="D63" s="80" t="s">
        <v>152</v>
      </c>
      <c r="F63" s="100" t="s">
        <v>204</v>
      </c>
      <c r="G63" s="102"/>
      <c r="H63" s="3" t="s">
        <v>207</v>
      </c>
      <c r="I63" s="3" t="s">
        <v>206</v>
      </c>
      <c r="J63" s="80" t="s">
        <v>90</v>
      </c>
      <c r="K63" s="80" t="s">
        <v>90</v>
      </c>
      <c r="L63" s="80"/>
      <c r="M63" s="80"/>
      <c r="N63" s="80" t="s">
        <v>90</v>
      </c>
    </row>
    <row r="64" spans="2:23" ht="49.5" x14ac:dyDescent="0.3">
      <c r="D64" s="80" t="s">
        <v>152</v>
      </c>
      <c r="F64" s="100"/>
      <c r="G64" s="102"/>
      <c r="H64" s="69" t="s">
        <v>208</v>
      </c>
      <c r="I64" s="71" t="s">
        <v>209</v>
      </c>
      <c r="J64" s="80" t="s">
        <v>90</v>
      </c>
      <c r="K64" s="81" t="s">
        <v>90</v>
      </c>
      <c r="L64" s="81"/>
      <c r="M64" s="81"/>
      <c r="N64" s="81" t="s">
        <v>90</v>
      </c>
    </row>
    <row r="65" spans="4:22" ht="33" x14ac:dyDescent="0.3">
      <c r="D65" s="80" t="s">
        <v>152</v>
      </c>
      <c r="F65" s="100"/>
      <c r="G65" s="102"/>
      <c r="H65" s="69" t="s">
        <v>210</v>
      </c>
      <c r="I65" s="71" t="s">
        <v>211</v>
      </c>
      <c r="J65" s="80" t="s">
        <v>90</v>
      </c>
      <c r="K65" s="81" t="s">
        <v>90</v>
      </c>
      <c r="L65" s="81"/>
      <c r="M65" s="81"/>
      <c r="N65" s="81" t="s">
        <v>90</v>
      </c>
    </row>
    <row r="66" spans="4:22" ht="33" x14ac:dyDescent="0.3">
      <c r="D66" s="80" t="s">
        <v>152</v>
      </c>
      <c r="F66" s="100"/>
      <c r="G66" s="102"/>
      <c r="H66" s="3" t="s">
        <v>213</v>
      </c>
      <c r="I66" s="71" t="s">
        <v>217</v>
      </c>
      <c r="J66" s="80" t="s">
        <v>90</v>
      </c>
      <c r="K66" s="81" t="s">
        <v>90</v>
      </c>
      <c r="L66" s="81"/>
      <c r="M66" s="81"/>
      <c r="N66" s="81" t="s">
        <v>90</v>
      </c>
      <c r="V66" t="s">
        <v>219</v>
      </c>
    </row>
    <row r="67" spans="4:22" x14ac:dyDescent="0.3">
      <c r="D67" s="80" t="s">
        <v>152</v>
      </c>
      <c r="F67" s="100"/>
      <c r="G67" s="102"/>
      <c r="H67" s="3" t="s">
        <v>214</v>
      </c>
      <c r="I67" s="71" t="s">
        <v>156</v>
      </c>
      <c r="J67" s="80" t="s">
        <v>90</v>
      </c>
      <c r="K67" s="81" t="s">
        <v>90</v>
      </c>
      <c r="L67" s="81"/>
      <c r="M67" s="81"/>
      <c r="N67" s="81" t="s">
        <v>90</v>
      </c>
    </row>
    <row r="68" spans="4:22" x14ac:dyDescent="0.3">
      <c r="D68" s="80" t="s">
        <v>152</v>
      </c>
      <c r="F68" s="100"/>
      <c r="G68" s="102"/>
      <c r="H68" s="3" t="s">
        <v>215</v>
      </c>
      <c r="I68" s="71" t="s">
        <v>166</v>
      </c>
      <c r="J68" s="80" t="s">
        <v>90</v>
      </c>
      <c r="K68" s="81" t="s">
        <v>90</v>
      </c>
      <c r="L68" s="81"/>
      <c r="M68" s="81"/>
      <c r="N68" s="81" t="s">
        <v>90</v>
      </c>
      <c r="V68" t="s">
        <v>220</v>
      </c>
    </row>
    <row r="69" spans="4:22" ht="33" x14ac:dyDescent="0.3">
      <c r="D69" s="80" t="s">
        <v>152</v>
      </c>
      <c r="F69" s="100"/>
      <c r="G69" s="102"/>
      <c r="H69" s="3" t="s">
        <v>216</v>
      </c>
      <c r="I69" s="71" t="s">
        <v>167</v>
      </c>
      <c r="J69" s="80" t="s">
        <v>90</v>
      </c>
      <c r="K69" s="81" t="s">
        <v>90</v>
      </c>
      <c r="L69" s="81"/>
      <c r="M69" s="81"/>
      <c r="N69" s="81" t="s">
        <v>90</v>
      </c>
    </row>
    <row r="70" spans="4:22" x14ac:dyDescent="0.3">
      <c r="D70" s="80" t="s">
        <v>162</v>
      </c>
      <c r="F70" s="80" t="s">
        <v>205</v>
      </c>
      <c r="G70" s="102"/>
      <c r="H70" s="3" t="s">
        <v>212</v>
      </c>
      <c r="I70" t="s">
        <v>218</v>
      </c>
      <c r="J70" s="80" t="s">
        <v>90</v>
      </c>
      <c r="K70" s="81" t="s">
        <v>90</v>
      </c>
      <c r="L70" s="81"/>
      <c r="M70" s="81"/>
      <c r="N70" s="81" t="s">
        <v>90</v>
      </c>
      <c r="V70" s="79" t="s">
        <v>221</v>
      </c>
    </row>
  </sheetData>
  <autoFilter ref="B20:AJ20"/>
  <mergeCells count="42">
    <mergeCell ref="W18:W19"/>
    <mergeCell ref="C17:F17"/>
    <mergeCell ref="U18:U19"/>
    <mergeCell ref="V39:V41"/>
    <mergeCell ref="F44:F57"/>
    <mergeCell ref="D21:D57"/>
    <mergeCell ref="C21:C62"/>
    <mergeCell ref="E21:E62"/>
    <mergeCell ref="F23:F25"/>
    <mergeCell ref="F30:F31"/>
    <mergeCell ref="F35:F41"/>
    <mergeCell ref="F58:F61"/>
    <mergeCell ref="C2:C3"/>
    <mergeCell ref="J17:R17"/>
    <mergeCell ref="C19:F19"/>
    <mergeCell ref="J18:N18"/>
    <mergeCell ref="J19:K19"/>
    <mergeCell ref="O18:R19"/>
    <mergeCell ref="D2:F3"/>
    <mergeCell ref="D5:F5"/>
    <mergeCell ref="D6:F6"/>
    <mergeCell ref="D7:F7"/>
    <mergeCell ref="D4:F4"/>
    <mergeCell ref="D8:F8"/>
    <mergeCell ref="D9:F9"/>
    <mergeCell ref="G2:G3"/>
    <mergeCell ref="F63:F69"/>
    <mergeCell ref="G21:G70"/>
    <mergeCell ref="X2:Y2"/>
    <mergeCell ref="AJ4:AJ5"/>
    <mergeCell ref="Y3:AC3"/>
    <mergeCell ref="AD3:AG3"/>
    <mergeCell ref="Y4:Z4"/>
    <mergeCell ref="AD4:AD5"/>
    <mergeCell ref="AE4:AE5"/>
    <mergeCell ref="AF4:AF5"/>
    <mergeCell ref="AG4:AG5"/>
    <mergeCell ref="AH4:AH5"/>
    <mergeCell ref="AI4:AI5"/>
    <mergeCell ref="W39:W41"/>
    <mergeCell ref="W50:W51"/>
    <mergeCell ref="V18:V19"/>
  </mergeCells>
  <phoneticPr fontId="1" type="noConversion"/>
  <conditionalFormatting sqref="U21">
    <cfRule type="expression" dxfId="34" priority="123">
      <formula>U21="Low"</formula>
    </cfRule>
    <cfRule type="expression" dxfId="33" priority="124">
      <formula>U21="Middle"</formula>
    </cfRule>
    <cfRule type="expression" dxfId="32" priority="125">
      <formula>U21="High"</formula>
    </cfRule>
    <cfRule type="expression" dxfId="31" priority="128">
      <formula xml:space="preserve"> U21 ="Critical"</formula>
    </cfRule>
  </conditionalFormatting>
  <conditionalFormatting sqref="U22">
    <cfRule type="expression" dxfId="30" priority="115">
      <formula>U22="Low"</formula>
    </cfRule>
    <cfRule type="expression" dxfId="29" priority="116">
      <formula>U22="Middle"</formula>
    </cfRule>
    <cfRule type="expression" dxfId="28" priority="117">
      <formula>U22="High"</formula>
    </cfRule>
    <cfRule type="expression" dxfId="27" priority="118">
      <formula xml:space="preserve"> U22 ="Critical"</formula>
    </cfRule>
  </conditionalFormatting>
  <conditionalFormatting sqref="U23">
    <cfRule type="expression" dxfId="26" priority="111">
      <formula>U23="Low"</formula>
    </cfRule>
    <cfRule type="expression" dxfId="25" priority="112">
      <formula>U23="Middle"</formula>
    </cfRule>
    <cfRule type="expression" dxfId="24" priority="113">
      <formula>U23="High"</formula>
    </cfRule>
    <cfRule type="expression" dxfId="23" priority="114">
      <formula xml:space="preserve"> U23 ="Critical"</formula>
    </cfRule>
  </conditionalFormatting>
  <conditionalFormatting sqref="U24:U62">
    <cfRule type="expression" dxfId="22" priority="107">
      <formula>U24="Low"</formula>
    </cfRule>
    <cfRule type="expression" dxfId="21" priority="108">
      <formula>U24="Middle"</formula>
    </cfRule>
    <cfRule type="expression" dxfId="20" priority="109">
      <formula>U24="High"</formula>
    </cfRule>
    <cfRule type="expression" dxfId="19" priority="110">
      <formula xml:space="preserve"> U24 ="Critical"</formula>
    </cfRule>
  </conditionalFormatting>
  <conditionalFormatting sqref="O21:P41 J21:J70">
    <cfRule type="expression" dxfId="18" priority="106">
      <formula>J21="FAIL"</formula>
    </cfRule>
  </conditionalFormatting>
  <conditionalFormatting sqref="J21:J70">
    <cfRule type="expression" dxfId="17" priority="96">
      <formula>J21="NO TEST"</formula>
    </cfRule>
    <cfRule type="expression" dxfId="16" priority="97">
      <formula>J21="N/A"</formula>
    </cfRule>
  </conditionalFormatting>
  <conditionalFormatting sqref="O21:O41">
    <cfRule type="expression" dxfId="15" priority="84">
      <formula>O21="NO TEST"</formula>
    </cfRule>
    <cfRule type="expression" dxfId="14" priority="85">
      <formula>O21="N/A"</formula>
    </cfRule>
  </conditionalFormatting>
  <conditionalFormatting sqref="P21:P41">
    <cfRule type="expression" dxfId="13" priority="82">
      <formula>P21="NO TEST"</formula>
    </cfRule>
    <cfRule type="expression" dxfId="12" priority="83">
      <formula>P21="N/A"</formula>
    </cfRule>
  </conditionalFormatting>
  <conditionalFormatting sqref="Q21:Q41">
    <cfRule type="expression" dxfId="11" priority="81">
      <formula>Q21="FAIL"</formula>
    </cfRule>
  </conditionalFormatting>
  <conditionalFormatting sqref="Q21:Q41">
    <cfRule type="expression" dxfId="10" priority="79">
      <formula>Q21="NO TEST"</formula>
    </cfRule>
    <cfRule type="expression" dxfId="9" priority="80">
      <formula>Q21="N/A"</formula>
    </cfRule>
  </conditionalFormatting>
  <conditionalFormatting sqref="R21:T41 V30 V23">
    <cfRule type="expression" dxfId="8" priority="78">
      <formula>R21="FAIL"</formula>
    </cfRule>
  </conditionalFormatting>
  <conditionalFormatting sqref="R21:T41 V30 V23">
    <cfRule type="expression" dxfId="7" priority="76">
      <formula>R21="NO TEST"</formula>
    </cfRule>
    <cfRule type="expression" dxfId="6" priority="77">
      <formula>R21="N/A"</formula>
    </cfRule>
  </conditionalFormatting>
  <conditionalFormatting sqref="V27">
    <cfRule type="expression" dxfId="5" priority="6">
      <formula>V27="FAIL"</formula>
    </cfRule>
  </conditionalFormatting>
  <conditionalFormatting sqref="V27">
    <cfRule type="expression" dxfId="4" priority="4">
      <formula>V27="NO TEST"</formula>
    </cfRule>
    <cfRule type="expression" dxfId="3" priority="5">
      <formula>V27="N/A"</formula>
    </cfRule>
  </conditionalFormatting>
  <conditionalFormatting sqref="K21:N70">
    <cfRule type="expression" dxfId="2" priority="3">
      <formula>K21="FAIL"</formula>
    </cfRule>
  </conditionalFormatting>
  <conditionalFormatting sqref="K21:N70">
    <cfRule type="expression" dxfId="1" priority="1">
      <formula>K21="NO TEST"</formula>
    </cfRule>
    <cfRule type="expression" dxfId="0" priority="2">
      <formula>K21="N/A"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'내부 코드'!$G$3:$G$6</xm:f>
          </x14:formula1>
          <xm:sqref>U21:U62</xm:sqref>
        </x14:dataValidation>
        <x14:dataValidation type="list" allowBlank="1" showInputMessage="1" showErrorMessage="1">
          <x14:formula1>
            <xm:f>'내부 코드'!$B$3:$B$6</xm:f>
          </x14:formula1>
          <xm:sqref>J21:T41 J42:N70</xm:sqref>
        </x14:dataValidation>
        <x14:dataValidation type="list" allowBlank="1" showInputMessage="1" showErrorMessage="1">
          <x14:formula1>
            <xm:f>'내부 코드'!$M$3:$M$7</xm:f>
          </x14:formula1>
          <xm:sqref>D21 D58:D70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7"/>
  <sheetViews>
    <sheetView workbookViewId="0">
      <selection activeCell="M3" sqref="M3:M8"/>
    </sheetView>
  </sheetViews>
  <sheetFormatPr defaultRowHeight="16.5" x14ac:dyDescent="0.3"/>
  <cols>
    <col min="7" max="7" width="7.125" bestFit="1" customWidth="1"/>
  </cols>
  <sheetData>
    <row r="2" spans="2:13" x14ac:dyDescent="0.3">
      <c r="B2" t="s">
        <v>9</v>
      </c>
      <c r="G2" t="s">
        <v>18</v>
      </c>
      <c r="M2" t="s">
        <v>50</v>
      </c>
    </row>
    <row r="3" spans="2:13" x14ac:dyDescent="0.3">
      <c r="B3" t="s">
        <v>10</v>
      </c>
      <c r="C3" t="s">
        <v>14</v>
      </c>
      <c r="G3" t="s">
        <v>19</v>
      </c>
      <c r="H3" t="s">
        <v>23</v>
      </c>
      <c r="M3" t="s">
        <v>51</v>
      </c>
    </row>
    <row r="4" spans="2:13" x14ac:dyDescent="0.3">
      <c r="B4" t="s">
        <v>11</v>
      </c>
      <c r="C4" t="s">
        <v>15</v>
      </c>
      <c r="G4" t="s">
        <v>20</v>
      </c>
      <c r="H4" t="s">
        <v>24</v>
      </c>
      <c r="M4" t="s">
        <v>52</v>
      </c>
    </row>
    <row r="5" spans="2:13" x14ac:dyDescent="0.3">
      <c r="B5" t="s">
        <v>12</v>
      </c>
      <c r="C5" t="s">
        <v>17</v>
      </c>
      <c r="G5" t="s">
        <v>21</v>
      </c>
      <c r="H5" t="s">
        <v>25</v>
      </c>
      <c r="M5" t="s">
        <v>53</v>
      </c>
    </row>
    <row r="6" spans="2:13" x14ac:dyDescent="0.3">
      <c r="B6" t="s">
        <v>13</v>
      </c>
      <c r="C6" t="s">
        <v>16</v>
      </c>
      <c r="G6" t="s">
        <v>22</v>
      </c>
      <c r="H6" t="s">
        <v>26</v>
      </c>
      <c r="M6" t="s">
        <v>54</v>
      </c>
    </row>
    <row r="7" spans="2:13" x14ac:dyDescent="0.3">
      <c r="G7" t="s">
        <v>27</v>
      </c>
      <c r="M7" t="s">
        <v>55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표지</vt:lpstr>
      <vt:lpstr>문서이력</vt:lpstr>
      <vt:lpstr>테스트 케이스</vt:lpstr>
      <vt:lpstr>내부 코드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nullnet</dc:creator>
  <cp:lastModifiedBy>tobesoft</cp:lastModifiedBy>
  <dcterms:created xsi:type="dcterms:W3CDTF">2025-03-04T06:14:10Z</dcterms:created>
  <dcterms:modified xsi:type="dcterms:W3CDTF">2025-07-04T01:29:27Z</dcterms:modified>
</cp:coreProperties>
</file>