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성과관리\2026년도\"/>
    </mc:Choice>
  </mc:AlternateContent>
  <bookViews>
    <workbookView xWindow="0" yWindow="0" windowWidth="25605" windowHeight="11370"/>
  </bookViews>
  <sheets>
    <sheet name="성과평가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M11" i="1" l="1"/>
  <c r="N10" i="1"/>
  <c r="N9" i="1"/>
  <c r="N7" i="1"/>
  <c r="N6" i="1"/>
  <c r="N5" i="1"/>
  <c r="N11" i="1" l="1"/>
</calcChain>
</file>

<file path=xl/sharedStrings.xml><?xml version="1.0" encoding="utf-8"?>
<sst xmlns="http://schemas.openxmlformats.org/spreadsheetml/2006/main" count="66" uniqueCount="65">
  <si>
    <t>성 과 평 가 표</t>
    <phoneticPr fontId="3" type="noConversion"/>
  </si>
  <si>
    <t>평가자</t>
    <phoneticPr fontId="3" type="noConversion"/>
  </si>
  <si>
    <t>소속</t>
    <phoneticPr fontId="3" type="noConversion"/>
  </si>
  <si>
    <t>직책</t>
    <phoneticPr fontId="3" type="noConversion"/>
  </si>
  <si>
    <t>성명</t>
    <phoneticPr fontId="3" type="noConversion"/>
  </si>
  <si>
    <t>구분</t>
  </si>
  <si>
    <t>주요영역</t>
  </si>
  <si>
    <t>평가자 의견</t>
    <phoneticPr fontId="3" type="noConversion"/>
  </si>
  <si>
    <t>성과/
역량</t>
    <phoneticPr fontId="3" type="noConversion"/>
  </si>
  <si>
    <t>성과목표                          결과확인</t>
    <phoneticPr fontId="3" type="noConversion"/>
  </si>
  <si>
    <t>상사</t>
  </si>
  <si>
    <t>본인</t>
  </si>
  <si>
    <t>합계</t>
    <phoneticPr fontId="3" type="noConversion"/>
  </si>
  <si>
    <t>②평가비중</t>
    <phoneticPr fontId="3" type="noConversion"/>
  </si>
  <si>
    <t>①x②총점</t>
    <phoneticPr fontId="3" type="noConversion"/>
  </si>
  <si>
    <t>①목표대비              달성률</t>
    <phoneticPr fontId="3" type="noConversion"/>
  </si>
  <si>
    <t>달성목표</t>
    <phoneticPr fontId="3" type="noConversion"/>
  </si>
  <si>
    <t>달성목표 기대수준 큰폭 이상 달성 한 경우</t>
  </si>
  <si>
    <t xml:space="preserve">   - S : 101% 이상 </t>
    <phoneticPr fontId="3" type="noConversion"/>
  </si>
  <si>
    <t>달성목표 기대수준 이상 결과</t>
  </si>
  <si>
    <t xml:space="preserve">   - A : 91%~100% </t>
    <phoneticPr fontId="3" type="noConversion"/>
  </si>
  <si>
    <t>달성목표 완료</t>
  </si>
  <si>
    <t xml:space="preserve">   - B : 81%~90% </t>
    <phoneticPr fontId="3" type="noConversion"/>
  </si>
  <si>
    <t>달성목표 조금 미흡</t>
  </si>
  <si>
    <t>달성목표 기대수준 미흡</t>
  </si>
  <si>
    <t xml:space="preserve">   - D : 70% 이하 </t>
    <phoneticPr fontId="3" type="noConversion"/>
  </si>
  <si>
    <t xml:space="preserve">   - C : 71%~80% </t>
    <phoneticPr fontId="3" type="noConversion"/>
  </si>
  <si>
    <t xml:space="preserve">   - 직무별 / 직급별 업무 중요도에 따라 평가비중 설계</t>
    <phoneticPr fontId="3" type="noConversion"/>
  </si>
  <si>
    <t xml:space="preserve">            영업지원부서 매출목표 10%, 그외 주요업무별 설정</t>
    <phoneticPr fontId="3" type="noConversion"/>
  </si>
  <si>
    <t xml:space="preserve">      ex1) 영업부서 : 매출목표 70%, 그외 주요업무별 설정</t>
    <phoneticPr fontId="3" type="noConversion"/>
  </si>
  <si>
    <r>
      <t xml:space="preserve">■ 목표대비 달성률 </t>
    </r>
    <r>
      <rPr>
        <b/>
        <sz val="12"/>
        <color rgb="FF1912AE"/>
        <rFont val="맑은 고딕"/>
        <family val="3"/>
        <charset val="129"/>
        <scheme val="minor"/>
      </rPr>
      <t>(아래 해당하는 등급 사이 숫자 입력 시 자동 환산)</t>
    </r>
    <phoneticPr fontId="3" type="noConversion"/>
  </si>
  <si>
    <r>
      <t xml:space="preserve"> ■ 평가비중</t>
    </r>
    <r>
      <rPr>
        <b/>
        <sz val="12"/>
        <color rgb="FF1912AE"/>
        <rFont val="맑은 고딕"/>
        <family val="3"/>
        <charset val="129"/>
        <scheme val="minor"/>
      </rPr>
      <t xml:space="preserve"> (10이상 90이하 숫자 입력 시 자동 환산)</t>
    </r>
    <phoneticPr fontId="3" type="noConversion"/>
  </si>
  <si>
    <t xml:space="preserve">     필수) 관리자 : 관리운영능력관련 10%, 업무목표 90% </t>
    <phoneticPr fontId="3" type="noConversion"/>
  </si>
  <si>
    <t xml:space="preserve">             팀원 : 기본역량(정성평가) 10%, 업무목표 90%</t>
    <phoneticPr fontId="3" type="noConversion"/>
  </si>
  <si>
    <t>목표설명</t>
  </si>
  <si>
    <t>기본역량</t>
    <phoneticPr fontId="3" type="noConversion"/>
  </si>
  <si>
    <t>NexaLAP</t>
    <phoneticPr fontId="3" type="noConversion"/>
  </si>
  <si>
    <t>NexaLAP</t>
    <phoneticPr fontId="3" type="noConversion"/>
  </si>
  <si>
    <t>Nexacro K</t>
    <phoneticPr fontId="3" type="noConversion"/>
  </si>
  <si>
    <t>요구 사항 관리</t>
    <phoneticPr fontId="3" type="noConversion"/>
  </si>
  <si>
    <t>요구 사항 관리</t>
    <phoneticPr fontId="3" type="noConversion"/>
  </si>
  <si>
    <t>테스트 자동화 확대</t>
    <phoneticPr fontId="3" type="noConversion"/>
  </si>
  <si>
    <t xml:space="preserve">유지보수 프로세스 구축 </t>
    <phoneticPr fontId="3" type="noConversion"/>
  </si>
  <si>
    <t>nexacroK</t>
    <phoneticPr fontId="3" type="noConversion"/>
  </si>
  <si>
    <t>신규 기능 테스트 개발 및 수행</t>
    <phoneticPr fontId="3" type="noConversion"/>
  </si>
  <si>
    <t>테스트 자동화 확대를 통한 업무 효율성 향상</t>
    <phoneticPr fontId="3" type="noConversion"/>
  </si>
  <si>
    <t>요구 사항 관리 효율성 제고</t>
    <phoneticPr fontId="3" type="noConversion"/>
  </si>
  <si>
    <t>품질보증그룹</t>
    <phoneticPr fontId="3" type="noConversion"/>
  </si>
  <si>
    <t>수석</t>
    <phoneticPr fontId="3" type="noConversion"/>
  </si>
  <si>
    <t>김동현</t>
    <phoneticPr fontId="3" type="noConversion"/>
  </si>
  <si>
    <t>문덕준</t>
    <phoneticPr fontId="3" type="noConversion"/>
  </si>
  <si>
    <t xml:space="preserve">김동현(서명)    </t>
    <phoneticPr fontId="3" type="noConversion"/>
  </si>
  <si>
    <t xml:space="preserve">문덕준(서명)    </t>
    <phoneticPr fontId="3" type="noConversion"/>
  </si>
  <si>
    <t>접근성 기능 테스트</t>
  </si>
  <si>
    <t>접근성 기능 테스트</t>
    <phoneticPr fontId="3" type="noConversion"/>
  </si>
  <si>
    <t>테스트 자동화 확대</t>
    <phoneticPr fontId="3" type="noConversion"/>
  </si>
  <si>
    <t>접근성 기능 테스트 자동화 구축 및 고도화</t>
    <phoneticPr fontId="3" type="noConversion"/>
  </si>
  <si>
    <t>테스트 자동화 확대를 통한 업무 효율성 향상
  - Nexacro K 테스트 케이스 자동화 개발
      -&gt; 2026년 3분기까지 진행했던 Nexacro K 테스트 케이스를 기반으로 TestPro 케이스를 2026년 11월 말까지 작성 완료한다.
      -&gt; TestPro로 작성이 불가능한 케이스를 제외한다.
  - 접수 요구사항에 대한 테스트 자동화 확대
      -&gt; Nexacro N v21, Nexacro N v24 건 대상으로 진행한다.
      -&gt; TestPro로 작성이 불가능한 케이스를 제외한다.
      -&gt; 목표율은 (4월 1일부터 11월 말까지 TOPS에 Nexacro N v21 &amp; v24 접수 건) - (TestPro로 작성 불가능한 건) = 총 대상 건에서 75% 이상 TestPro 케이스 
S : Nexacro K 테스트 케이스 자동화 개발과 접수 요구사항에 대한 테스트 자동화 확대를 완료하고  목표율을 95% 이상 달성
A : B항목을 달성하며 Nexacro K 테스트 케이스 자동화 개발과 접수 요구사항에 대한 테스트 자동화의 목표율까지 달성
B : Nexacro K 테스트 케이스 자동화 개발 일정을 달성하며 접수 요구사항에 대한 테스트 자동화 확대를 진행
C : Nexacro K 테스트 케이스 자동화 개발과 접수 요구사항에 대한 테스트 자동화 진행을 일정에 맞게 진행하되 완료 목표율까지는 미달성
D : Nexacro K 테스트 케이스 자동화 개발과 접수 요구사항에 대한 테스트 자동화 일정 및 완료 목표율 미달성</t>
    <phoneticPr fontId="3" type="noConversion"/>
  </si>
  <si>
    <t>NexaLAP 출시를 위한 초기 품질 확보 및 운영 체계 구축
  - 유지보수 프로세스 구축
S : 없음
A : NexaLAP 정식 배포버전 출시 전 NexaLAP 유지보수 프로세스를 연관 부서와 협의를 진행하며 문서화를 통하여 정의
B : NexaLAP 정식 배포버전 출시 전 NexaLAP 유지보수 프로세스를 기존 제품 수준의 유지보수 체계와 준용하게 운용할 수 있도록 연관 부서와 협의를 진행
C : 3분기까지 NexaLAP 유지보수 프로세스를 기존 제품 수준의 유지보수 체계와 준용하게 운용할 수 있도록 연관 부서와 협의를 진행
D : 미진행</t>
    <phoneticPr fontId="3" type="noConversion"/>
  </si>
  <si>
    <t>Nexacro K 안정적 출시를 위한 품질 체계 구축
  - 신규 기능 테스트 개발 및 수행
S : 없음
A : B항목을 달성하며 테스트 과정에서 발견된 개선 필요 사항과 스펙 외 기능 개선 아이디어를 도출하여 제품 품질 향상 지원
B : 배정된 신규 기능 테스트를 수립된 일정에 맞게 진행
C : 배정된 신규 기능 테스트를 진행
D : 미진행
테스트 일정 시 외부 요소(긴급 대응, 이슈 사이트 발생, 개인 사유)로 인하여 일정에 문제가 발생 시 상급자가 판단하여 평가를 한다.</t>
    <phoneticPr fontId="3" type="noConversion"/>
  </si>
  <si>
    <t xml:space="preserve">요구 사항 관리 효율성 제고
  - 신규/변경 목록 관리 시스템 구축
  - 긴급 관리 기능 고도화를 통한 고객대응력 향상
S :  A목표를 달성하고 운영을 진행여 관련부서와 공유
A :  신규/변경 목록 관리 시스템 구축 &amp; 긴급 관리 기능 고도화 진행을  3분기까지 완료 
B :  신규/변경 목록 관리 시스템 구축 &amp; 긴급 관리 기능 고도화 진행을 12월 말까지 완료   
C :  신규/변경 목록 관리 시스템 구축 &amp; 긴급 관리 기능 고도화 진행 둘중에 한개를 완료
D :  신규/변경 목록 관리 시스템 구축 &amp; 긴급 관리 기능 고도화 진행 둘다 미달성 </t>
    <phoneticPr fontId="3" type="noConversion"/>
  </si>
  <si>
    <t>접근성 기능 테스트 자동화 구축 및 고도화
  - PM으로 자동화 구축의 방향성을 제시하고 2026년도 9월까지 프로젝트 완료를 목표로 관리를 진행한다.
  - 완료 목표는 접근성 지원 컴포넌트 와  TOPS에 접수된 접근성 요구사항을 대상으로 자동화를 진행한다 
  - 자동화 구축 개발자(이혜림)의 성취도에 따라서 평가된다.
  - 프로젝트 완료 이후 개선 사항이 발생 시 spot으로 진행을 한다.
S : A항목을 달성하며 프로젝트 개발자(이혜림)의 달성률이 S일 때
A : B항목을 달성하며 2026년 11월 말까지 접근성 심사 진행 프로젝트 소스 기반으로 접근성 테스트 케이스를 추가할 수 있도록 관리 및 지원
B : 접근성 기능 테스트 자동화 구축 및 고도화 작업 프로젝트 완료 목표일까지 완료될 수 있도록 관리 및 지원
C : 접근성 기능 테스트 자동화 구축 및 고도화 작업을 진행하되 프로젝트 완료 목표일에는 미달성
D : 미진행</t>
    <phoneticPr fontId="3" type="noConversion"/>
  </si>
  <si>
    <t>기본역량</t>
    <phoneticPr fontId="3" type="noConversion"/>
  </si>
  <si>
    <t xml:space="preserve">정기 테스트 지원 </t>
    <phoneticPr fontId="3" type="noConversion"/>
  </si>
  <si>
    <r>
      <t xml:space="preserve">정기 테스트 지원
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S :  없음 
A :  B목표를 요청날짜보다 일정 단축 
B :  QA파트에서 정기 테스트 지원 요청 목록을 지정된 날짜가지 완료    
C :  B 실패
D :  미달성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</si>
</sst>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1912AE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left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9" fontId="8" fillId="3" borderId="9" xfId="2" applyFont="1" applyFill="1" applyBorder="1" applyAlignment="1" applyProtection="1">
      <alignment horizontal="center" vertical="center" wrapText="1"/>
      <protection locked="0"/>
    </xf>
    <xf numFmtId="9" fontId="8" fillId="3" borderId="2" xfId="2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9" fontId="8" fillId="3" borderId="18" xfId="2" applyFont="1" applyFill="1" applyBorder="1" applyAlignment="1" applyProtection="1">
      <alignment horizontal="center" vertical="center" wrapText="1"/>
      <protection locked="0"/>
    </xf>
    <xf numFmtId="9" fontId="12" fillId="4" borderId="19" xfId="2" applyFont="1" applyFill="1" applyBorder="1">
      <alignment vertical="center"/>
    </xf>
    <xf numFmtId="0" fontId="2" fillId="3" borderId="0" xfId="0" applyFont="1" applyFill="1" applyProtection="1">
      <alignment vertical="center"/>
      <protection locked="0"/>
    </xf>
    <xf numFmtId="0" fontId="0" fillId="3" borderId="0" xfId="0" applyFill="1">
      <alignment vertical="center"/>
    </xf>
    <xf numFmtId="0" fontId="2" fillId="3" borderId="0" xfId="0" applyFont="1" applyFill="1" applyBorder="1" applyProtection="1">
      <alignment vertical="center"/>
      <protection locked="0"/>
    </xf>
    <xf numFmtId="0" fontId="9" fillId="3" borderId="0" xfId="0" applyFont="1" applyFill="1" applyProtection="1">
      <alignment vertical="center"/>
      <protection locked="0"/>
    </xf>
    <xf numFmtId="0" fontId="0" fillId="3" borderId="0" xfId="0" applyFill="1" applyProtection="1">
      <alignment vertical="center"/>
      <protection locked="0"/>
    </xf>
    <xf numFmtId="0" fontId="11" fillId="3" borderId="0" xfId="0" applyFont="1" applyFill="1" applyProtection="1">
      <alignment vertical="center"/>
      <protection locked="0"/>
    </xf>
    <xf numFmtId="0" fontId="8" fillId="3" borderId="0" xfId="0" applyFont="1" applyFill="1" applyProtection="1">
      <alignment vertical="center"/>
      <protection locked="0"/>
    </xf>
    <xf numFmtId="9" fontId="12" fillId="3" borderId="9" xfId="2" applyFont="1" applyFill="1" applyBorder="1">
      <alignment vertical="center"/>
    </xf>
    <xf numFmtId="0" fontId="0" fillId="3" borderId="1" xfId="0" applyFill="1" applyBorder="1">
      <alignment vertical="center"/>
    </xf>
    <xf numFmtId="0" fontId="13" fillId="3" borderId="1" xfId="0" applyFont="1" applyFill="1" applyBorder="1">
      <alignment vertical="center"/>
    </xf>
    <xf numFmtId="41" fontId="8" fillId="3" borderId="0" xfId="1" applyNumberFormat="1" applyFont="1" applyFill="1" applyBorder="1" applyAlignment="1" applyProtection="1">
      <alignment horizontal="right" vertical="center" wrapText="1"/>
      <protection locked="0"/>
    </xf>
    <xf numFmtId="0" fontId="10" fillId="3" borderId="0" xfId="0" applyFont="1" applyFill="1" applyBorder="1" applyAlignment="1" applyProtection="1">
      <alignment horizontal="center" vertical="center" wrapText="1"/>
      <protection locked="0"/>
    </xf>
    <xf numFmtId="0" fontId="6" fillId="3" borderId="0" xfId="0" applyFont="1" applyFill="1" applyBorder="1" applyAlignment="1" applyProtection="1">
      <alignment horizontal="center" vertical="center" wrapText="1"/>
      <protection locked="0"/>
    </xf>
    <xf numFmtId="0" fontId="14" fillId="3" borderId="0" xfId="0" applyFont="1" applyFill="1">
      <alignment vertical="center"/>
    </xf>
    <xf numFmtId="0" fontId="15" fillId="3" borderId="0" xfId="0" applyFont="1" applyFill="1">
      <alignment vertical="center"/>
    </xf>
    <xf numFmtId="9" fontId="17" fillId="3" borderId="9" xfId="2" applyFont="1" applyFill="1" applyBorder="1" applyAlignment="1" applyProtection="1">
      <alignment horizontal="center" vertical="center" wrapText="1"/>
      <protection locked="0"/>
    </xf>
    <xf numFmtId="0" fontId="8" fillId="3" borderId="20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 indent="1"/>
      <protection locked="0"/>
    </xf>
    <xf numFmtId="0" fontId="7" fillId="0" borderId="4" xfId="0" applyFont="1" applyBorder="1" applyAlignment="1" applyProtection="1">
      <alignment horizontal="left" vertical="center" wrapText="1" indent="1"/>
      <protection locked="0"/>
    </xf>
    <xf numFmtId="0" fontId="7" fillId="0" borderId="3" xfId="0" applyFont="1" applyBorder="1" applyAlignment="1" applyProtection="1">
      <alignment horizontal="left" vertical="center" wrapText="1" indent="1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 indent="1"/>
      <protection locked="0"/>
    </xf>
    <xf numFmtId="0" fontId="8" fillId="3" borderId="4" xfId="0" applyFont="1" applyFill="1" applyBorder="1" applyAlignment="1" applyProtection="1">
      <alignment horizontal="left" vertical="center" wrapText="1" indent="1"/>
      <protection locked="0"/>
    </xf>
    <xf numFmtId="0" fontId="8" fillId="3" borderId="3" xfId="0" applyFont="1" applyFill="1" applyBorder="1" applyAlignment="1" applyProtection="1">
      <alignment horizontal="left" vertical="center" wrapText="1" inden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left" vertical="center" wrapText="1" inden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8" fillId="3" borderId="9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 applyProtection="1">
      <alignment horizontal="center" vertical="center" wrapText="1"/>
      <protection locked="0"/>
    </xf>
    <xf numFmtId="0" fontId="10" fillId="2" borderId="15" xfId="0" applyFont="1" applyFill="1" applyBorder="1" applyAlignment="1" applyProtection="1">
      <alignment horizontal="center" vertical="center" wrapText="1"/>
      <protection locked="0"/>
    </xf>
    <xf numFmtId="41" fontId="8" fillId="3" borderId="12" xfId="1" applyNumberFormat="1" applyFont="1" applyFill="1" applyBorder="1" applyAlignment="1" applyProtection="1">
      <alignment horizontal="right" vertical="center" wrapText="1"/>
      <protection locked="0"/>
    </xf>
    <xf numFmtId="41" fontId="8" fillId="3" borderId="13" xfId="1" applyNumberFormat="1" applyFont="1" applyFill="1" applyBorder="1" applyAlignment="1" applyProtection="1">
      <alignment horizontal="right" vertical="center" wrapText="1"/>
      <protection locked="0"/>
    </xf>
    <xf numFmtId="41" fontId="8" fillId="3" borderId="15" xfId="1" applyNumberFormat="1" applyFont="1" applyFill="1" applyBorder="1" applyAlignment="1" applyProtection="1">
      <alignment horizontal="right" vertical="center" wrapText="1"/>
      <protection locked="0"/>
    </xf>
    <xf numFmtId="41" fontId="8" fillId="3" borderId="16" xfId="1" applyNumberFormat="1" applyFont="1" applyFill="1" applyBorder="1" applyAlignment="1" applyProtection="1">
      <alignment horizontal="right" vertical="center" wrapText="1"/>
      <protection locked="0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191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topLeftCell="A28" zoomScaleNormal="100" workbookViewId="0">
      <selection activeCell="W10" sqref="W10"/>
    </sheetView>
  </sheetViews>
  <sheetFormatPr defaultColWidth="8.625" defaultRowHeight="16.5"/>
  <cols>
    <col min="1" max="11" width="8.625" style="12"/>
    <col min="12" max="14" width="11.125" style="12" customWidth="1"/>
    <col min="15" max="16384" width="8.625" style="12"/>
  </cols>
  <sheetData>
    <row r="1" spans="1:19" ht="69.95" customHeight="1">
      <c r="A1" s="11"/>
      <c r="B1" s="48" t="s">
        <v>0</v>
      </c>
      <c r="C1" s="48"/>
      <c r="D1" s="49"/>
      <c r="E1" s="49"/>
      <c r="F1" s="48"/>
      <c r="G1" s="48"/>
      <c r="H1" s="49"/>
      <c r="I1" s="49"/>
      <c r="J1" s="49"/>
      <c r="K1" s="48"/>
      <c r="L1" s="48"/>
      <c r="M1" s="49"/>
      <c r="N1" s="49"/>
      <c r="O1" s="48"/>
      <c r="P1" s="48"/>
      <c r="Q1" s="49"/>
      <c r="R1" s="49"/>
    </row>
    <row r="2" spans="1:19" ht="33" customHeight="1">
      <c r="A2" s="11"/>
      <c r="B2" s="45" t="s">
        <v>1</v>
      </c>
      <c r="C2" s="47"/>
      <c r="D2" s="50" t="s">
        <v>50</v>
      </c>
      <c r="E2" s="50"/>
      <c r="F2" s="45" t="s">
        <v>2</v>
      </c>
      <c r="G2" s="47"/>
      <c r="H2" s="50" t="s">
        <v>47</v>
      </c>
      <c r="I2" s="50"/>
      <c r="J2" s="50"/>
      <c r="K2" s="45" t="s">
        <v>3</v>
      </c>
      <c r="L2" s="47"/>
      <c r="M2" s="50" t="s">
        <v>48</v>
      </c>
      <c r="N2" s="50"/>
      <c r="O2" s="45" t="s">
        <v>4</v>
      </c>
      <c r="P2" s="47"/>
      <c r="Q2" s="50" t="s">
        <v>49</v>
      </c>
      <c r="R2" s="51"/>
    </row>
    <row r="3" spans="1:19" ht="17.100000000000001" customHeight="1" thickBot="1">
      <c r="A3" s="1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9" ht="39.950000000000003" customHeight="1">
      <c r="A4" s="11"/>
      <c r="B4" s="1" t="s">
        <v>5</v>
      </c>
      <c r="C4" s="43" t="s">
        <v>6</v>
      </c>
      <c r="D4" s="44"/>
      <c r="E4" s="43" t="s">
        <v>16</v>
      </c>
      <c r="F4" s="53"/>
      <c r="G4" s="53"/>
      <c r="H4" s="53"/>
      <c r="I4" s="53"/>
      <c r="J4" s="53"/>
      <c r="K4" s="44"/>
      <c r="L4" s="1" t="s">
        <v>15</v>
      </c>
      <c r="M4" s="7" t="s">
        <v>13</v>
      </c>
      <c r="N4" s="8" t="s">
        <v>14</v>
      </c>
      <c r="O4" s="53" t="s">
        <v>7</v>
      </c>
      <c r="P4" s="53"/>
      <c r="Q4" s="53"/>
      <c r="R4" s="44"/>
    </row>
    <row r="5" spans="1:19" ht="33" customHeight="1">
      <c r="A5" s="11"/>
      <c r="B5" s="54" t="s">
        <v>8</v>
      </c>
      <c r="C5" s="35" t="s">
        <v>37</v>
      </c>
      <c r="D5" s="29"/>
      <c r="E5" s="36" t="s">
        <v>42</v>
      </c>
      <c r="F5" s="37"/>
      <c r="G5" s="37"/>
      <c r="H5" s="37"/>
      <c r="I5" s="37"/>
      <c r="J5" s="37"/>
      <c r="K5" s="38"/>
      <c r="L5" s="26"/>
      <c r="M5" s="26">
        <v>0.1</v>
      </c>
      <c r="N5" s="9">
        <f>L5*M5</f>
        <v>0</v>
      </c>
      <c r="O5" s="29"/>
      <c r="P5" s="56"/>
      <c r="Q5" s="56"/>
      <c r="R5" s="56"/>
    </row>
    <row r="6" spans="1:19" ht="33" customHeight="1">
      <c r="A6" s="11"/>
      <c r="B6" s="55"/>
      <c r="C6" s="35" t="s">
        <v>43</v>
      </c>
      <c r="D6" s="29"/>
      <c r="E6" s="36" t="s">
        <v>44</v>
      </c>
      <c r="F6" s="37"/>
      <c r="G6" s="37"/>
      <c r="H6" s="37"/>
      <c r="I6" s="37"/>
      <c r="J6" s="37"/>
      <c r="K6" s="38"/>
      <c r="L6" s="5"/>
      <c r="M6" s="5"/>
      <c r="N6" s="9">
        <f t="shared" ref="N6:N10" si="0">L6*M6</f>
        <v>0</v>
      </c>
      <c r="O6" s="29"/>
      <c r="P6" s="56"/>
      <c r="Q6" s="56"/>
      <c r="R6" s="56"/>
    </row>
    <row r="7" spans="1:19" ht="33" customHeight="1">
      <c r="A7" s="11"/>
      <c r="B7" s="55"/>
      <c r="C7" s="35" t="s">
        <v>53</v>
      </c>
      <c r="D7" s="29"/>
      <c r="E7" s="36" t="s">
        <v>56</v>
      </c>
      <c r="F7" s="37"/>
      <c r="G7" s="37"/>
      <c r="H7" s="37"/>
      <c r="I7" s="37"/>
      <c r="J7" s="37"/>
      <c r="K7" s="38"/>
      <c r="L7" s="5"/>
      <c r="M7" s="5"/>
      <c r="N7" s="9">
        <f t="shared" si="0"/>
        <v>0</v>
      </c>
      <c r="O7" s="29"/>
      <c r="P7" s="56"/>
      <c r="Q7" s="56"/>
      <c r="R7" s="56"/>
    </row>
    <row r="8" spans="1:19" ht="33" customHeight="1">
      <c r="A8" s="11"/>
      <c r="B8" s="55"/>
      <c r="C8" s="35" t="s">
        <v>41</v>
      </c>
      <c r="D8" s="29"/>
      <c r="E8" s="36" t="s">
        <v>45</v>
      </c>
      <c r="F8" s="37"/>
      <c r="G8" s="37"/>
      <c r="H8" s="37"/>
      <c r="I8" s="37"/>
      <c r="J8" s="37"/>
      <c r="K8" s="38"/>
      <c r="L8" s="5"/>
      <c r="M8" s="5"/>
      <c r="N8" s="9">
        <f t="shared" si="0"/>
        <v>0</v>
      </c>
      <c r="O8" s="27"/>
      <c r="P8" s="28"/>
      <c r="Q8" s="28"/>
      <c r="R8" s="29"/>
    </row>
    <row r="9" spans="1:19" ht="33" customHeight="1">
      <c r="A9" s="11"/>
      <c r="B9" s="55"/>
      <c r="C9" s="35" t="s">
        <v>40</v>
      </c>
      <c r="D9" s="29"/>
      <c r="E9" s="36" t="s">
        <v>46</v>
      </c>
      <c r="F9" s="37"/>
      <c r="G9" s="37"/>
      <c r="H9" s="37"/>
      <c r="I9" s="37"/>
      <c r="J9" s="37"/>
      <c r="K9" s="38"/>
      <c r="L9" s="5"/>
      <c r="M9" s="5"/>
      <c r="N9" s="9">
        <f t="shared" si="0"/>
        <v>0</v>
      </c>
      <c r="O9" s="29"/>
      <c r="P9" s="56"/>
      <c r="Q9" s="56"/>
      <c r="R9" s="56"/>
    </row>
    <row r="10" spans="1:19" ht="33" customHeight="1">
      <c r="A10" s="11"/>
      <c r="B10" s="55"/>
      <c r="C10" s="35" t="s">
        <v>62</v>
      </c>
      <c r="D10" s="29"/>
      <c r="E10" s="36" t="s">
        <v>63</v>
      </c>
      <c r="F10" s="37"/>
      <c r="G10" s="37"/>
      <c r="H10" s="37"/>
      <c r="I10" s="37"/>
      <c r="J10" s="37"/>
      <c r="K10" s="38"/>
      <c r="L10" s="6"/>
      <c r="M10" s="6"/>
      <c r="N10" s="9">
        <f t="shared" si="0"/>
        <v>0</v>
      </c>
      <c r="O10" s="29"/>
      <c r="P10" s="56"/>
      <c r="Q10" s="56"/>
      <c r="R10" s="56"/>
    </row>
    <row r="11" spans="1:19" ht="33" customHeight="1" thickBot="1">
      <c r="B11" s="65" t="s">
        <v>12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  <c r="M11" s="18">
        <f>SUM(M5:M10)</f>
        <v>0.1</v>
      </c>
      <c r="N11" s="10">
        <f>SUM(N5:N10)</f>
        <v>0</v>
      </c>
    </row>
    <row r="12" spans="1:19" ht="17.100000000000001" customHeight="1"/>
    <row r="13" spans="1:19" s="15" customFormat="1" ht="17.100000000000001" customHeight="1" thickBot="1">
      <c r="A13" s="11"/>
      <c r="B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S13" s="11"/>
    </row>
    <row r="14" spans="1:19" s="15" customFormat="1" ht="36.950000000000003" customHeight="1">
      <c r="A14" s="11"/>
      <c r="B14" s="57" t="s">
        <v>9</v>
      </c>
      <c r="C14" s="58"/>
      <c r="D14" s="2" t="s">
        <v>10</v>
      </c>
      <c r="E14" s="61" t="s">
        <v>52</v>
      </c>
      <c r="F14" s="62"/>
      <c r="G14" s="3"/>
      <c r="H14" s="3"/>
      <c r="I14" s="3"/>
      <c r="J14" s="3"/>
      <c r="K14" s="3"/>
      <c r="L14" s="11"/>
      <c r="M14" s="11"/>
      <c r="N14" s="11"/>
      <c r="O14" s="11"/>
      <c r="P14" s="11"/>
      <c r="Q14" s="11"/>
      <c r="R14" s="11"/>
      <c r="S14" s="11"/>
    </row>
    <row r="15" spans="1:19" s="15" customFormat="1" ht="36.950000000000003" customHeight="1" thickBot="1">
      <c r="A15" s="11"/>
      <c r="B15" s="59"/>
      <c r="C15" s="60"/>
      <c r="D15" s="4" t="s">
        <v>11</v>
      </c>
      <c r="E15" s="63" t="s">
        <v>51</v>
      </c>
      <c r="F15" s="64"/>
      <c r="G15" s="3"/>
      <c r="H15" s="3"/>
      <c r="I15" s="3"/>
      <c r="J15" s="3"/>
      <c r="K15" s="3"/>
      <c r="L15" s="11"/>
      <c r="M15" s="11"/>
      <c r="N15" s="11"/>
      <c r="O15" s="11"/>
      <c r="P15" s="11"/>
      <c r="Q15" s="11"/>
      <c r="R15" s="11"/>
      <c r="S15" s="11"/>
    </row>
    <row r="16" spans="1:19" s="15" customFormat="1" ht="17.100000000000001" customHeight="1">
      <c r="A16" s="11"/>
      <c r="B16" s="22"/>
      <c r="C16" s="22"/>
      <c r="D16" s="23"/>
      <c r="E16" s="21"/>
      <c r="F16" s="21"/>
      <c r="G16" s="3"/>
      <c r="H16" s="3"/>
      <c r="I16" s="3"/>
      <c r="J16" s="3"/>
      <c r="K16" s="3"/>
      <c r="L16" s="11"/>
      <c r="M16" s="11"/>
      <c r="N16" s="11"/>
      <c r="O16" s="11"/>
      <c r="P16" s="11"/>
      <c r="Q16" s="11"/>
      <c r="R16" s="11"/>
      <c r="S16" s="11"/>
    </row>
    <row r="17" spans="2:18" s="11" customFormat="1" ht="17.100000000000001" customHeight="1">
      <c r="B17" s="15"/>
      <c r="C17" s="15"/>
      <c r="D17" s="15"/>
      <c r="E17" s="16"/>
      <c r="F17" s="16"/>
      <c r="G17" s="17"/>
      <c r="H17" s="17"/>
      <c r="I17" s="17"/>
    </row>
    <row r="18" spans="2:18" s="24" customFormat="1" ht="21.95" customHeight="1">
      <c r="B18" s="25" t="s">
        <v>30</v>
      </c>
      <c r="J18" s="25" t="s">
        <v>31</v>
      </c>
      <c r="K18" s="25"/>
      <c r="L18" s="25"/>
    </row>
    <row r="19" spans="2:18" ht="21" customHeight="1">
      <c r="B19" s="20" t="s">
        <v>18</v>
      </c>
      <c r="C19" s="19"/>
      <c r="D19" s="19" t="s">
        <v>17</v>
      </c>
      <c r="E19" s="19"/>
      <c r="F19" s="19"/>
      <c r="G19" s="19"/>
      <c r="H19" s="19"/>
      <c r="J19" s="19" t="s">
        <v>27</v>
      </c>
      <c r="K19" s="19"/>
      <c r="L19" s="19"/>
      <c r="M19" s="19"/>
      <c r="N19" s="19"/>
      <c r="O19" s="19"/>
    </row>
    <row r="20" spans="2:18" ht="21" customHeight="1">
      <c r="B20" s="20" t="s">
        <v>20</v>
      </c>
      <c r="C20" s="19"/>
      <c r="D20" s="19" t="s">
        <v>19</v>
      </c>
      <c r="E20" s="19"/>
      <c r="F20" s="19"/>
      <c r="G20" s="19"/>
      <c r="H20" s="19"/>
      <c r="J20" s="19" t="s">
        <v>29</v>
      </c>
      <c r="K20" s="19"/>
      <c r="L20" s="19"/>
      <c r="M20" s="19"/>
      <c r="N20" s="19"/>
      <c r="O20" s="19"/>
    </row>
    <row r="21" spans="2:18" ht="21" customHeight="1">
      <c r="B21" s="20" t="s">
        <v>22</v>
      </c>
      <c r="C21" s="19"/>
      <c r="D21" s="19" t="s">
        <v>21</v>
      </c>
      <c r="E21" s="19"/>
      <c r="F21" s="19"/>
      <c r="G21" s="19"/>
      <c r="H21" s="19"/>
      <c r="J21" s="19" t="s">
        <v>28</v>
      </c>
      <c r="K21" s="19"/>
      <c r="L21" s="19"/>
      <c r="M21" s="19"/>
      <c r="N21" s="19"/>
      <c r="O21" s="19"/>
    </row>
    <row r="22" spans="2:18" ht="21" customHeight="1">
      <c r="B22" s="20" t="s">
        <v>26</v>
      </c>
      <c r="C22" s="19"/>
      <c r="D22" s="19" t="s">
        <v>23</v>
      </c>
      <c r="E22" s="19"/>
      <c r="F22" s="19"/>
      <c r="G22" s="19"/>
      <c r="H22" s="19"/>
      <c r="J22" s="20" t="s">
        <v>32</v>
      </c>
      <c r="K22" s="20"/>
      <c r="L22" s="20"/>
      <c r="M22" s="20"/>
      <c r="N22" s="20"/>
      <c r="O22" s="20"/>
    </row>
    <row r="23" spans="2:18" ht="21" customHeight="1">
      <c r="B23" s="20" t="s">
        <v>25</v>
      </c>
      <c r="C23" s="19"/>
      <c r="D23" s="19" t="s">
        <v>24</v>
      </c>
      <c r="E23" s="19"/>
      <c r="F23" s="19"/>
      <c r="G23" s="19"/>
      <c r="H23" s="19"/>
      <c r="J23" s="20" t="s">
        <v>33</v>
      </c>
      <c r="K23" s="20"/>
      <c r="L23" s="20"/>
      <c r="M23" s="20"/>
      <c r="N23" s="20"/>
      <c r="O23" s="20"/>
    </row>
    <row r="27" spans="2:18">
      <c r="B27" s="43" t="s">
        <v>6</v>
      </c>
      <c r="C27" s="44"/>
      <c r="D27" s="45" t="s">
        <v>34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7"/>
    </row>
    <row r="28" spans="2:18" ht="111.75" customHeight="1">
      <c r="B28" s="39" t="s">
        <v>36</v>
      </c>
      <c r="C28" s="39"/>
      <c r="D28" s="40" t="s">
        <v>58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pans="2:18" ht="136.5" customHeight="1">
      <c r="B29" s="39" t="s">
        <v>38</v>
      </c>
      <c r="C29" s="39"/>
      <c r="D29" s="40" t="s">
        <v>59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</row>
    <row r="30" spans="2:18" ht="177" customHeight="1">
      <c r="B30" s="39" t="s">
        <v>54</v>
      </c>
      <c r="C30" s="39"/>
      <c r="D30" s="40" t="s">
        <v>61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2:18" ht="257.25" customHeight="1">
      <c r="B31" s="30" t="s">
        <v>55</v>
      </c>
      <c r="C31" s="31"/>
      <c r="D31" s="32" t="s">
        <v>57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4"/>
    </row>
    <row r="32" spans="2:18" ht="139.5" customHeight="1">
      <c r="B32" s="41" t="s">
        <v>39</v>
      </c>
      <c r="C32" s="42"/>
      <c r="D32" s="40" t="s">
        <v>60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</row>
    <row r="33" spans="2:18" ht="100.5" customHeight="1">
      <c r="B33" s="39" t="s">
        <v>35</v>
      </c>
      <c r="C33" s="39"/>
      <c r="D33" s="40" t="s">
        <v>64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</row>
  </sheetData>
  <mergeCells count="50">
    <mergeCell ref="B3:R3"/>
    <mergeCell ref="C4:D4"/>
    <mergeCell ref="E4:K4"/>
    <mergeCell ref="O4:R4"/>
    <mergeCell ref="B5:B10"/>
    <mergeCell ref="C5:D5"/>
    <mergeCell ref="E5:K5"/>
    <mergeCell ref="O5:R5"/>
    <mergeCell ref="C6:D6"/>
    <mergeCell ref="E6:K6"/>
    <mergeCell ref="O6:R6"/>
    <mergeCell ref="C7:D7"/>
    <mergeCell ref="E7:K7"/>
    <mergeCell ref="O7:R7"/>
    <mergeCell ref="C9:D9"/>
    <mergeCell ref="E9:K9"/>
    <mergeCell ref="B1:R1"/>
    <mergeCell ref="B2:C2"/>
    <mergeCell ref="D2:E2"/>
    <mergeCell ref="F2:G2"/>
    <mergeCell ref="H2:J2"/>
    <mergeCell ref="K2:L2"/>
    <mergeCell ref="M2:N2"/>
    <mergeCell ref="O2:P2"/>
    <mergeCell ref="Q2:R2"/>
    <mergeCell ref="B32:C32"/>
    <mergeCell ref="D32:R32"/>
    <mergeCell ref="B33:C33"/>
    <mergeCell ref="D33:R33"/>
    <mergeCell ref="B27:C27"/>
    <mergeCell ref="D27:R27"/>
    <mergeCell ref="B28:C28"/>
    <mergeCell ref="D28:R28"/>
    <mergeCell ref="B29:C29"/>
    <mergeCell ref="D29:R29"/>
    <mergeCell ref="O8:R8"/>
    <mergeCell ref="B31:C31"/>
    <mergeCell ref="D31:R31"/>
    <mergeCell ref="C8:D8"/>
    <mergeCell ref="E8:K8"/>
    <mergeCell ref="B30:C30"/>
    <mergeCell ref="D30:R30"/>
    <mergeCell ref="O9:R9"/>
    <mergeCell ref="C10:D10"/>
    <mergeCell ref="E10:K10"/>
    <mergeCell ref="O10:R10"/>
    <mergeCell ref="B14:C15"/>
    <mergeCell ref="E14:F14"/>
    <mergeCell ref="E15:F15"/>
    <mergeCell ref="B11:L1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성과평가표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sjrnfl13</cp:lastModifiedBy>
  <cp:lastPrinted>2026-03-24T01:23:10Z</cp:lastPrinted>
  <dcterms:created xsi:type="dcterms:W3CDTF">2026-03-23T02:25:39Z</dcterms:created>
  <dcterms:modified xsi:type="dcterms:W3CDTF">2026-03-24T09:00:43Z</dcterms:modified>
</cp:coreProperties>
</file>